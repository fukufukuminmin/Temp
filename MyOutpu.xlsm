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240" yWindow="105" windowWidth="14805" windowHeight="8010"/>
  </bookViews>
  <sheets>
    <sheet name="配管" sheetId="2" r:id="rId1"/>
    <sheet name="バルブ" sheetId="3" r:id="rId2"/>
    <sheet name="消耗品" sheetId="4" r:id="rId3"/>
    <sheet name="合計" sheetId="5" r:id="rId4"/>
  </sheets>
  <calcPr calcId="145621"/>
</workbook>
</file>

<file path=xl/calcChain.xml><?xml version="1.0" encoding="utf-8"?>
<calcChain xmlns="http://schemas.openxmlformats.org/spreadsheetml/2006/main">
  <c r="S44" i="4" l="1"/>
  <c r="S7" i="4"/>
  <c r="S8" i="4"/>
  <c r="S9" i="4"/>
  <c r="S10" i="4"/>
  <c r="S11" i="4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40" i="4"/>
  <c r="S41" i="4"/>
  <c r="S6" i="4"/>
  <c r="R43" i="4"/>
  <c r="Q43" i="4"/>
  <c r="S43" i="4" s="1"/>
  <c r="P43" i="4"/>
  <c r="O43" i="4"/>
  <c r="N43" i="4"/>
  <c r="M43" i="4"/>
  <c r="L43" i="4"/>
  <c r="K43" i="4"/>
  <c r="J43" i="4"/>
  <c r="I43" i="4"/>
  <c r="R42" i="4"/>
  <c r="Q42" i="4"/>
  <c r="S42" i="4" s="1"/>
  <c r="P42" i="4"/>
  <c r="O42" i="4"/>
  <c r="N42" i="4"/>
  <c r="M42" i="4"/>
  <c r="L42" i="4"/>
  <c r="K42" i="4"/>
  <c r="J42" i="4"/>
  <c r="I42" i="4"/>
  <c r="R40" i="4"/>
  <c r="Q40" i="4"/>
  <c r="P40" i="4"/>
  <c r="O40" i="4"/>
  <c r="N40" i="4"/>
  <c r="M40" i="4"/>
  <c r="L40" i="4"/>
  <c r="K40" i="4"/>
  <c r="J40" i="4"/>
  <c r="I40" i="4"/>
  <c r="R39" i="4"/>
  <c r="Q39" i="4"/>
  <c r="P39" i="4"/>
  <c r="O39" i="4"/>
  <c r="N39" i="4"/>
  <c r="M39" i="4"/>
  <c r="L39" i="4"/>
  <c r="K39" i="4"/>
  <c r="J39" i="4"/>
  <c r="I39" i="4"/>
  <c r="R37" i="4"/>
  <c r="Q37" i="4"/>
  <c r="P37" i="4"/>
  <c r="O37" i="4"/>
  <c r="N37" i="4"/>
  <c r="M37" i="4"/>
  <c r="L37" i="4"/>
  <c r="K37" i="4"/>
  <c r="J37" i="4"/>
  <c r="I37" i="4"/>
  <c r="R36" i="4"/>
  <c r="Q36" i="4"/>
  <c r="P36" i="4"/>
  <c r="O36" i="4"/>
  <c r="N36" i="4"/>
  <c r="M36" i="4"/>
  <c r="L36" i="4"/>
  <c r="K36" i="4"/>
  <c r="J36" i="4"/>
  <c r="I36" i="4"/>
  <c r="R34" i="4"/>
  <c r="Q34" i="4"/>
  <c r="P34" i="4"/>
  <c r="O34" i="4"/>
  <c r="N34" i="4"/>
  <c r="M34" i="4"/>
  <c r="L34" i="4"/>
  <c r="K34" i="4"/>
  <c r="J34" i="4"/>
  <c r="I34" i="4"/>
  <c r="R33" i="4"/>
  <c r="Q33" i="4"/>
  <c r="P33" i="4"/>
  <c r="O33" i="4"/>
  <c r="N33" i="4"/>
  <c r="M33" i="4"/>
  <c r="L33" i="4"/>
  <c r="K33" i="4"/>
  <c r="J33" i="4"/>
  <c r="I33" i="4"/>
  <c r="R31" i="4"/>
  <c r="Q31" i="4"/>
  <c r="P31" i="4"/>
  <c r="O31" i="4"/>
  <c r="N31" i="4"/>
  <c r="M31" i="4"/>
  <c r="L31" i="4"/>
  <c r="K31" i="4"/>
  <c r="J31" i="4"/>
  <c r="I31" i="4"/>
  <c r="R30" i="4"/>
  <c r="Q30" i="4"/>
  <c r="P30" i="4"/>
  <c r="O30" i="4"/>
  <c r="N30" i="4"/>
  <c r="M30" i="4"/>
  <c r="L30" i="4"/>
  <c r="K30" i="4"/>
  <c r="J30" i="4"/>
  <c r="I30" i="4"/>
  <c r="R28" i="4"/>
  <c r="Q28" i="4"/>
  <c r="P28" i="4"/>
  <c r="O28" i="4"/>
  <c r="N28" i="4"/>
  <c r="M28" i="4"/>
  <c r="L28" i="4"/>
  <c r="K28" i="4"/>
  <c r="J28" i="4"/>
  <c r="I28" i="4"/>
  <c r="R27" i="4"/>
  <c r="Q27" i="4"/>
  <c r="P27" i="4"/>
  <c r="O27" i="4"/>
  <c r="N27" i="4"/>
  <c r="M27" i="4"/>
  <c r="L27" i="4"/>
  <c r="K27" i="4"/>
  <c r="J27" i="4"/>
  <c r="I27" i="4"/>
  <c r="R25" i="4"/>
  <c r="Q25" i="4"/>
  <c r="P25" i="4"/>
  <c r="O25" i="4"/>
  <c r="N25" i="4"/>
  <c r="M25" i="4"/>
  <c r="L25" i="4"/>
  <c r="K25" i="4"/>
  <c r="J25" i="4"/>
  <c r="I25" i="4"/>
  <c r="R24" i="4"/>
  <c r="Q24" i="4"/>
  <c r="P24" i="4"/>
  <c r="O24" i="4"/>
  <c r="N24" i="4"/>
  <c r="M24" i="4"/>
  <c r="L24" i="4"/>
  <c r="K24" i="4"/>
  <c r="J24" i="4"/>
  <c r="I24" i="4"/>
  <c r="R22" i="4"/>
  <c r="Q22" i="4"/>
  <c r="P22" i="4"/>
  <c r="O22" i="4"/>
  <c r="N22" i="4"/>
  <c r="M22" i="4"/>
  <c r="L22" i="4"/>
  <c r="K22" i="4"/>
  <c r="J22" i="4"/>
  <c r="I22" i="4"/>
  <c r="R21" i="4"/>
  <c r="Q21" i="4"/>
  <c r="P21" i="4"/>
  <c r="O21" i="4"/>
  <c r="N21" i="4"/>
  <c r="M21" i="4"/>
  <c r="L21" i="4"/>
  <c r="K21" i="4"/>
  <c r="J21" i="4"/>
  <c r="I21" i="4"/>
  <c r="R19" i="4"/>
  <c r="Q19" i="4"/>
  <c r="P19" i="4"/>
  <c r="O19" i="4"/>
  <c r="N19" i="4"/>
  <c r="M19" i="4"/>
  <c r="L19" i="4"/>
  <c r="K19" i="4"/>
  <c r="J19" i="4"/>
  <c r="I19" i="4"/>
  <c r="R18" i="4"/>
  <c r="Q18" i="4"/>
  <c r="P18" i="4"/>
  <c r="O18" i="4"/>
  <c r="N18" i="4"/>
  <c r="M18" i="4"/>
  <c r="L18" i="4"/>
  <c r="K18" i="4"/>
  <c r="J18" i="4"/>
  <c r="I18" i="4"/>
  <c r="R16" i="4"/>
  <c r="Q16" i="4"/>
  <c r="P16" i="4"/>
  <c r="O16" i="4"/>
  <c r="N16" i="4"/>
  <c r="M16" i="4"/>
  <c r="L16" i="4"/>
  <c r="K16" i="4"/>
  <c r="J16" i="4"/>
  <c r="I16" i="4"/>
  <c r="R15" i="4"/>
  <c r="Q15" i="4"/>
  <c r="P15" i="4"/>
  <c r="O15" i="4"/>
  <c r="N15" i="4"/>
  <c r="M15" i="4"/>
  <c r="L15" i="4"/>
  <c r="K15" i="4"/>
  <c r="J15" i="4"/>
  <c r="I15" i="4"/>
  <c r="R13" i="4"/>
  <c r="Q13" i="4"/>
  <c r="P13" i="4"/>
  <c r="O13" i="4"/>
  <c r="N13" i="4"/>
  <c r="M13" i="4"/>
  <c r="L13" i="4"/>
  <c r="K13" i="4"/>
  <c r="J13" i="4"/>
  <c r="I13" i="4"/>
  <c r="R12" i="4"/>
  <c r="Q12" i="4"/>
  <c r="P12" i="4"/>
  <c r="O12" i="4"/>
  <c r="N12" i="4"/>
  <c r="M12" i="4"/>
  <c r="L12" i="4"/>
  <c r="K12" i="4"/>
  <c r="J12" i="4"/>
  <c r="I12" i="4"/>
  <c r="R10" i="4"/>
  <c r="Q10" i="4"/>
  <c r="P10" i="4"/>
  <c r="O10" i="4"/>
  <c r="N10" i="4"/>
  <c r="M10" i="4"/>
  <c r="L10" i="4"/>
  <c r="K10" i="4"/>
  <c r="J10" i="4"/>
  <c r="I10" i="4"/>
  <c r="R9" i="4"/>
  <c r="Q9" i="4"/>
  <c r="P9" i="4"/>
  <c r="O9" i="4"/>
  <c r="N9" i="4"/>
  <c r="M9" i="4"/>
  <c r="L9" i="4"/>
  <c r="K9" i="4"/>
  <c r="J9" i="4"/>
  <c r="I9" i="4"/>
  <c r="R7" i="4"/>
  <c r="Q7" i="4"/>
  <c r="P7" i="4"/>
  <c r="O7" i="4"/>
  <c r="R6" i="4"/>
  <c r="Q6" i="4"/>
  <c r="P6" i="4"/>
  <c r="O6" i="4"/>
  <c r="N7" i="4"/>
  <c r="N6" i="4"/>
  <c r="M7" i="4"/>
  <c r="L7" i="4"/>
  <c r="K7" i="4"/>
  <c r="J7" i="4"/>
  <c r="M6" i="4"/>
  <c r="L6" i="4"/>
  <c r="K6" i="4"/>
  <c r="J6" i="4"/>
  <c r="I7" i="4"/>
  <c r="I6" i="4"/>
  <c r="H43" i="4"/>
  <c r="G43" i="4"/>
  <c r="H42" i="4"/>
  <c r="G42" i="4"/>
  <c r="H40" i="4"/>
  <c r="G40" i="4"/>
  <c r="H39" i="4"/>
  <c r="G39" i="4"/>
  <c r="H37" i="4"/>
  <c r="G37" i="4"/>
  <c r="H36" i="4"/>
  <c r="G36" i="4"/>
  <c r="H34" i="4"/>
  <c r="G34" i="4"/>
  <c r="H33" i="4"/>
  <c r="G33" i="4"/>
  <c r="H31" i="4"/>
  <c r="G31" i="4"/>
  <c r="H30" i="4"/>
  <c r="G30" i="4"/>
  <c r="H28" i="4"/>
  <c r="G28" i="4"/>
  <c r="H27" i="4"/>
  <c r="G27" i="4"/>
  <c r="H25" i="4"/>
  <c r="G25" i="4"/>
  <c r="H24" i="4"/>
  <c r="G24" i="4"/>
  <c r="H22" i="4"/>
  <c r="G22" i="4"/>
  <c r="H21" i="4"/>
  <c r="G21" i="4"/>
  <c r="H19" i="4"/>
  <c r="G19" i="4"/>
  <c r="H18" i="4"/>
  <c r="G18" i="4"/>
  <c r="H16" i="4"/>
  <c r="G16" i="4"/>
  <c r="H15" i="4"/>
  <c r="G15" i="4"/>
  <c r="H13" i="4"/>
  <c r="G13" i="4"/>
  <c r="H12" i="4"/>
  <c r="G12" i="4"/>
  <c r="H10" i="4"/>
  <c r="G10" i="4"/>
  <c r="H9" i="4"/>
  <c r="G9" i="4"/>
  <c r="H7" i="4"/>
  <c r="H6" i="4"/>
  <c r="G7" i="4"/>
  <c r="G6" i="4"/>
  <c r="F7" i="4"/>
  <c r="F6" i="4"/>
  <c r="F43" i="4"/>
  <c r="F42" i="4"/>
  <c r="F40" i="4"/>
  <c r="F39" i="4"/>
  <c r="F37" i="4"/>
  <c r="F36" i="4"/>
  <c r="F34" i="4"/>
  <c r="F33" i="4"/>
  <c r="F31" i="4"/>
  <c r="F30" i="4"/>
  <c r="F28" i="4"/>
  <c r="F27" i="4"/>
  <c r="F25" i="4"/>
  <c r="F24" i="4"/>
  <c r="F22" i="4"/>
  <c r="F21" i="4"/>
  <c r="F19" i="4"/>
  <c r="F18" i="4"/>
  <c r="F16" i="4"/>
  <c r="F15" i="4"/>
  <c r="F13" i="4"/>
  <c r="F12" i="4"/>
  <c r="F10" i="4"/>
  <c r="F9" i="4"/>
  <c r="D43" i="4"/>
  <c r="D42" i="4"/>
  <c r="D40" i="4"/>
  <c r="D39" i="4"/>
  <c r="D37" i="4"/>
  <c r="D36" i="4"/>
  <c r="D34" i="4"/>
  <c r="D33" i="4"/>
  <c r="D31" i="4"/>
  <c r="D30" i="4"/>
  <c r="D28" i="4"/>
  <c r="D27" i="4"/>
  <c r="D25" i="4"/>
  <c r="D24" i="4"/>
  <c r="D22" i="4"/>
  <c r="D21" i="4"/>
  <c r="D19" i="4"/>
  <c r="D18" i="4"/>
  <c r="D16" i="4"/>
  <c r="D15" i="4"/>
  <c r="D13" i="4"/>
  <c r="D12" i="4"/>
  <c r="D10" i="4"/>
  <c r="D9" i="4"/>
  <c r="D6" i="4"/>
  <c r="D7" i="4"/>
  <c r="I9" i="2"/>
  <c r="I47" i="2"/>
  <c r="J47" i="2"/>
  <c r="K47" i="2"/>
  <c r="L47" i="2"/>
  <c r="M47" i="2"/>
  <c r="I46" i="2"/>
  <c r="J46" i="2"/>
  <c r="K46" i="2"/>
  <c r="L46" i="2"/>
  <c r="M46" i="2"/>
  <c r="L34" i="5" l="1"/>
  <c r="K5" i="5" l="1"/>
  <c r="K7" i="5"/>
  <c r="K9" i="5"/>
  <c r="L35" i="5"/>
  <c r="L31" i="5"/>
  <c r="C7" i="4"/>
  <c r="C10" i="4"/>
  <c r="C13" i="4"/>
  <c r="C16" i="4"/>
  <c r="C19" i="4"/>
  <c r="C22" i="4"/>
  <c r="C25" i="4"/>
  <c r="C28" i="4"/>
  <c r="C31" i="4"/>
  <c r="C34" i="4"/>
  <c r="C37" i="4"/>
  <c r="C40" i="4"/>
  <c r="C43" i="4"/>
  <c r="M6" i="3"/>
  <c r="O6" i="3" s="1"/>
  <c r="P6" i="3"/>
  <c r="M8" i="3"/>
  <c r="O8" i="3" s="1"/>
  <c r="P8" i="3"/>
  <c r="P20" i="3" s="1"/>
  <c r="M10" i="3"/>
  <c r="O10" i="3" s="1"/>
  <c r="P10" i="3"/>
  <c r="M12" i="3"/>
  <c r="O12" i="3"/>
  <c r="P12" i="3"/>
  <c r="M14" i="3"/>
  <c r="O14" i="3" s="1"/>
  <c r="P14" i="3"/>
  <c r="O16" i="3"/>
  <c r="P16" i="3"/>
  <c r="B20" i="3"/>
  <c r="C20" i="3"/>
  <c r="D20" i="3"/>
  <c r="E20" i="3"/>
  <c r="F20" i="3"/>
  <c r="G20" i="3"/>
  <c r="H20" i="3"/>
  <c r="I20" i="3"/>
  <c r="J20" i="3"/>
  <c r="K20" i="3"/>
  <c r="N20" i="3"/>
  <c r="N7" i="2"/>
  <c r="O7" i="2"/>
  <c r="P7" i="2"/>
  <c r="N8" i="2"/>
  <c r="O8" i="2"/>
  <c r="P8" i="2"/>
  <c r="H9" i="2"/>
  <c r="J9" i="2"/>
  <c r="K9" i="2"/>
  <c r="L9" i="2"/>
  <c r="M9" i="2"/>
  <c r="R7" i="2" s="1"/>
  <c r="N10" i="2"/>
  <c r="O10" i="2"/>
  <c r="P10" i="2"/>
  <c r="N11" i="2"/>
  <c r="O11" i="2"/>
  <c r="P11" i="2"/>
  <c r="H12" i="2"/>
  <c r="I12" i="2"/>
  <c r="J12" i="2"/>
  <c r="K12" i="2"/>
  <c r="L12" i="2"/>
  <c r="M12" i="2"/>
  <c r="R10" i="2" s="1"/>
  <c r="N13" i="2"/>
  <c r="O13" i="2"/>
  <c r="P13" i="2"/>
  <c r="N14" i="2"/>
  <c r="O14" i="2"/>
  <c r="P14" i="2"/>
  <c r="H15" i="2"/>
  <c r="I15" i="2"/>
  <c r="J15" i="2"/>
  <c r="K15" i="2"/>
  <c r="L15" i="2"/>
  <c r="M15" i="2"/>
  <c r="R13" i="2" s="1"/>
  <c r="N16" i="2"/>
  <c r="O16" i="2"/>
  <c r="P16" i="2"/>
  <c r="N17" i="2"/>
  <c r="O17" i="2"/>
  <c r="P17" i="2"/>
  <c r="H18" i="2"/>
  <c r="I18" i="2"/>
  <c r="J18" i="2"/>
  <c r="K18" i="2"/>
  <c r="L18" i="2"/>
  <c r="M18" i="2"/>
  <c r="R16" i="2" s="1"/>
  <c r="N19" i="2"/>
  <c r="O19" i="2"/>
  <c r="P19" i="2"/>
  <c r="N20" i="2"/>
  <c r="O20" i="2"/>
  <c r="P20" i="2"/>
  <c r="H21" i="2"/>
  <c r="I21" i="2"/>
  <c r="J21" i="2"/>
  <c r="K21" i="2"/>
  <c r="L21" i="2"/>
  <c r="M21" i="2"/>
  <c r="R19" i="2" s="1"/>
  <c r="N22" i="2"/>
  <c r="O22" i="2"/>
  <c r="P22" i="2"/>
  <c r="N23" i="2"/>
  <c r="O23" i="2"/>
  <c r="P23" i="2"/>
  <c r="H24" i="2"/>
  <c r="I24" i="2"/>
  <c r="J24" i="2"/>
  <c r="K24" i="2"/>
  <c r="L24" i="2"/>
  <c r="M24" i="2"/>
  <c r="R22" i="2" s="1"/>
  <c r="N25" i="2"/>
  <c r="O25" i="2"/>
  <c r="P25" i="2"/>
  <c r="N26" i="2"/>
  <c r="O26" i="2"/>
  <c r="P26" i="2"/>
  <c r="H27" i="2"/>
  <c r="I27" i="2"/>
  <c r="J27" i="2"/>
  <c r="K27" i="2"/>
  <c r="L27" i="2"/>
  <c r="M27" i="2"/>
  <c r="R25" i="2" s="1"/>
  <c r="N28" i="2"/>
  <c r="O28" i="2"/>
  <c r="P28" i="2"/>
  <c r="N29" i="2"/>
  <c r="O29" i="2"/>
  <c r="P29" i="2"/>
  <c r="H30" i="2"/>
  <c r="I30" i="2"/>
  <c r="J30" i="2"/>
  <c r="K30" i="2"/>
  <c r="L30" i="2"/>
  <c r="M30" i="2"/>
  <c r="R28" i="2" s="1"/>
  <c r="N31" i="2"/>
  <c r="O31" i="2"/>
  <c r="P31" i="2"/>
  <c r="N32" i="2"/>
  <c r="O32" i="2"/>
  <c r="P32" i="2"/>
  <c r="H33" i="2"/>
  <c r="I33" i="2"/>
  <c r="J33" i="2"/>
  <c r="K33" i="2"/>
  <c r="L33" i="2"/>
  <c r="M33" i="2"/>
  <c r="R31" i="2" s="1"/>
  <c r="N34" i="2"/>
  <c r="O34" i="2"/>
  <c r="P34" i="2"/>
  <c r="N35" i="2"/>
  <c r="O35" i="2"/>
  <c r="P35" i="2"/>
  <c r="H36" i="2"/>
  <c r="I36" i="2"/>
  <c r="J36" i="2"/>
  <c r="K36" i="2"/>
  <c r="L36" i="2"/>
  <c r="M36" i="2"/>
  <c r="R34" i="2" s="1"/>
  <c r="N37" i="2"/>
  <c r="O37" i="2"/>
  <c r="P37" i="2"/>
  <c r="N38" i="2"/>
  <c r="O38" i="2"/>
  <c r="P38" i="2"/>
  <c r="H39" i="2"/>
  <c r="I39" i="2"/>
  <c r="J39" i="2"/>
  <c r="K39" i="2"/>
  <c r="L39" i="2"/>
  <c r="M39" i="2"/>
  <c r="R37" i="2" s="1"/>
  <c r="N40" i="2"/>
  <c r="O40" i="2"/>
  <c r="P40" i="2"/>
  <c r="N41" i="2"/>
  <c r="O41" i="2"/>
  <c r="P41" i="2"/>
  <c r="H42" i="2"/>
  <c r="I42" i="2"/>
  <c r="J42" i="2"/>
  <c r="K42" i="2"/>
  <c r="L42" i="2"/>
  <c r="M42" i="2"/>
  <c r="R40" i="2" s="1"/>
  <c r="N43" i="2"/>
  <c r="O43" i="2"/>
  <c r="P43" i="2"/>
  <c r="N44" i="2"/>
  <c r="O44" i="2"/>
  <c r="P44" i="2"/>
  <c r="H45" i="2"/>
  <c r="I45" i="2"/>
  <c r="J45" i="2"/>
  <c r="K45" i="2"/>
  <c r="L45" i="2"/>
  <c r="M45" i="2"/>
  <c r="R43" i="2" s="1"/>
  <c r="B46" i="2"/>
  <c r="C46" i="2"/>
  <c r="D46" i="2"/>
  <c r="E46" i="2"/>
  <c r="F46" i="2"/>
  <c r="Q45" i="4" l="1"/>
  <c r="S45" i="4" s="1"/>
  <c r="O45" i="4"/>
  <c r="M45" i="4"/>
  <c r="K45" i="4"/>
  <c r="I45" i="4"/>
  <c r="G45" i="4"/>
  <c r="E6" i="4"/>
  <c r="D45" i="4"/>
  <c r="R45" i="4"/>
  <c r="P45" i="4"/>
  <c r="N45" i="4"/>
  <c r="L45" i="4"/>
  <c r="J45" i="4"/>
  <c r="H45" i="4"/>
  <c r="F45" i="4"/>
  <c r="O46" i="2"/>
  <c r="P9" i="2"/>
  <c r="P47" i="2"/>
  <c r="N47" i="2"/>
  <c r="O47" i="2"/>
  <c r="P46" i="2"/>
  <c r="N46" i="2"/>
  <c r="P33" i="2"/>
  <c r="P21" i="2"/>
  <c r="P15" i="2"/>
  <c r="P12" i="2"/>
  <c r="E39" i="4"/>
  <c r="E33" i="4"/>
  <c r="E27" i="4"/>
  <c r="E21" i="4"/>
  <c r="E22" i="4"/>
  <c r="O46" i="4"/>
  <c r="O47" i="4" s="1"/>
  <c r="M48" i="2"/>
  <c r="N45" i="2"/>
  <c r="P39" i="2"/>
  <c r="P36" i="2"/>
  <c r="L48" i="2"/>
  <c r="J48" i="2"/>
  <c r="K48" i="2"/>
  <c r="I48" i="2"/>
  <c r="P45" i="2"/>
  <c r="P27" i="2"/>
  <c r="P24" i="2"/>
  <c r="P42" i="2"/>
  <c r="Q37" i="2"/>
  <c r="P30" i="2"/>
  <c r="Q25" i="2"/>
  <c r="P18" i="2"/>
  <c r="Q13" i="2"/>
  <c r="Q31" i="2"/>
  <c r="Q19" i="2"/>
  <c r="Q7" i="2"/>
  <c r="E42" i="4"/>
  <c r="E40" i="4"/>
  <c r="E36" i="4"/>
  <c r="E34" i="4"/>
  <c r="E30" i="4"/>
  <c r="E24" i="4"/>
  <c r="E18" i="4"/>
  <c r="E12" i="4"/>
  <c r="E43" i="4"/>
  <c r="E37" i="4"/>
  <c r="E31" i="4"/>
  <c r="E25" i="4"/>
  <c r="E15" i="4"/>
  <c r="E9" i="4"/>
  <c r="K46" i="4"/>
  <c r="Q8" i="2"/>
  <c r="Q43" i="2"/>
  <c r="Q40" i="2"/>
  <c r="N39" i="2"/>
  <c r="Q34" i="2"/>
  <c r="N33" i="2"/>
  <c r="N27" i="2"/>
  <c r="P48" i="2"/>
  <c r="N21" i="2"/>
  <c r="N15" i="2"/>
  <c r="N9" i="2"/>
  <c r="O9" i="2"/>
  <c r="Q28" i="2"/>
  <c r="Q22" i="2"/>
  <c r="Q16" i="2"/>
  <c r="Q10" i="2"/>
  <c r="O45" i="2"/>
  <c r="Q41" i="2"/>
  <c r="O39" i="2"/>
  <c r="Q35" i="2"/>
  <c r="O33" i="2"/>
  <c r="Q29" i="2"/>
  <c r="O27" i="2"/>
  <c r="Q23" i="2"/>
  <c r="O21" i="2"/>
  <c r="Q17" i="2"/>
  <c r="O15" i="2"/>
  <c r="Q11" i="2"/>
  <c r="Q44" i="2"/>
  <c r="N42" i="2"/>
  <c r="O42" i="2"/>
  <c r="Q38" i="2"/>
  <c r="N36" i="2"/>
  <c r="O36" i="2"/>
  <c r="Q32" i="2"/>
  <c r="N30" i="2"/>
  <c r="O30" i="2"/>
  <c r="Q26" i="2"/>
  <c r="N24" i="2"/>
  <c r="O24" i="2"/>
  <c r="Q20" i="2"/>
  <c r="N18" i="2"/>
  <c r="O18" i="2"/>
  <c r="Q14" i="2"/>
  <c r="N12" i="2"/>
  <c r="O12" i="2"/>
  <c r="O20" i="3"/>
  <c r="M20" i="3"/>
  <c r="O48" i="2"/>
  <c r="H46" i="4" l="1"/>
  <c r="H47" i="4" s="1"/>
  <c r="P46" i="4"/>
  <c r="P47" i="4" s="1"/>
  <c r="L46" i="4"/>
  <c r="L47" i="4" s="1"/>
  <c r="D46" i="4"/>
  <c r="F46" i="4"/>
  <c r="F47" i="4" s="1"/>
  <c r="J46" i="4"/>
  <c r="J47" i="4" s="1"/>
  <c r="N46" i="4"/>
  <c r="R46" i="4"/>
  <c r="G46" i="4"/>
  <c r="G47" i="4" s="1"/>
  <c r="I46" i="4"/>
  <c r="I47" i="4" s="1"/>
  <c r="M46" i="4"/>
  <c r="M47" i="4" s="1"/>
  <c r="E28" i="4"/>
  <c r="Q46" i="4"/>
  <c r="E45" i="4"/>
  <c r="Q15" i="2"/>
  <c r="R15" i="2" s="1"/>
  <c r="Q33" i="2"/>
  <c r="R33" i="2" s="1"/>
  <c r="Q47" i="2"/>
  <c r="Q46" i="2"/>
  <c r="N48" i="2"/>
  <c r="Q39" i="2"/>
  <c r="R39" i="2" s="1"/>
  <c r="R47" i="4"/>
  <c r="Q9" i="2"/>
  <c r="R9" i="2" s="1"/>
  <c r="Q45" i="2"/>
  <c r="R45" i="2" s="1"/>
  <c r="Q18" i="2"/>
  <c r="R18" i="2" s="1"/>
  <c r="Q30" i="2"/>
  <c r="R30" i="2" s="1"/>
  <c r="Q42" i="2"/>
  <c r="R42" i="2" s="1"/>
  <c r="Q21" i="2"/>
  <c r="R21" i="2" s="1"/>
  <c r="Q27" i="2"/>
  <c r="R27" i="2" s="1"/>
  <c r="K47" i="4"/>
  <c r="E13" i="4"/>
  <c r="E16" i="4"/>
  <c r="E19" i="4"/>
  <c r="E7" i="4"/>
  <c r="Q12" i="2"/>
  <c r="R12" i="2" s="1"/>
  <c r="Q24" i="2"/>
  <c r="R24" i="2" s="1"/>
  <c r="Q36" i="2"/>
  <c r="R36" i="2" s="1"/>
  <c r="E10" i="4"/>
  <c r="D47" i="4"/>
  <c r="N47" i="4"/>
  <c r="Q47" i="4" l="1"/>
  <c r="S47" i="4" s="1"/>
  <c r="S46" i="4"/>
  <c r="E46" i="4"/>
  <c r="E47" i="4" s="1"/>
  <c r="R48" i="2"/>
  <c r="Q48" i="2"/>
</calcChain>
</file>

<file path=xl/sharedStrings.xml><?xml version="1.0" encoding="utf-8"?>
<sst xmlns="http://schemas.openxmlformats.org/spreadsheetml/2006/main" count="298" uniqueCount="141">
  <si>
    <t>Field</t>
  </si>
  <si>
    <t>Shop</t>
  </si>
  <si>
    <t>合計</t>
    <rPh sb="0" eb="2">
      <t>ゴウケイ</t>
    </rPh>
    <phoneticPr fontId="3"/>
  </si>
  <si>
    <t>計</t>
    <rPh sb="0" eb="1">
      <t>ケイ</t>
    </rPh>
    <phoneticPr fontId="3"/>
  </si>
  <si>
    <t>SUS329JTPS</t>
  </si>
  <si>
    <t>SUS347TPE</t>
  </si>
  <si>
    <t>SUS317LTPS</t>
  </si>
  <si>
    <t>SUS317TPS</t>
  </si>
  <si>
    <t>10S</t>
  </si>
  <si>
    <t>SUS316LTPE</t>
  </si>
  <si>
    <t>20S</t>
  </si>
  <si>
    <t>SUS321TPE</t>
  </si>
  <si>
    <t>SUS316TPE</t>
  </si>
  <si>
    <t>SUS304TPS</t>
  </si>
  <si>
    <t>SUS304TPE</t>
  </si>
  <si>
    <t>STPG410E</t>
  </si>
  <si>
    <t>STPG410S</t>
  </si>
  <si>
    <t>P＋W＋O</t>
  </si>
  <si>
    <t>W</t>
  </si>
  <si>
    <t>P</t>
  </si>
  <si>
    <t>α%</t>
  </si>
  <si>
    <t>kg</t>
  </si>
  <si>
    <t>φ</t>
  </si>
  <si>
    <t>工数</t>
    <rPh sb="0" eb="2">
      <t>コウスウ</t>
    </rPh>
    <phoneticPr fontId="3"/>
  </si>
  <si>
    <t>その他</t>
    <rPh sb="2" eb="3">
      <t>タ</t>
    </rPh>
    <phoneticPr fontId="3"/>
  </si>
  <si>
    <t>溶接</t>
    <rPh sb="0" eb="2">
      <t>ヨウセツ</t>
    </rPh>
    <phoneticPr fontId="3"/>
  </si>
  <si>
    <t>小計</t>
    <rPh sb="0" eb="1">
      <t>ショウ</t>
    </rPh>
    <rPh sb="1" eb="2">
      <t>ケイ</t>
    </rPh>
    <phoneticPr fontId="3"/>
  </si>
  <si>
    <t>配管</t>
    <rPh sb="0" eb="2">
      <t>ハイカン</t>
    </rPh>
    <phoneticPr fontId="3"/>
  </si>
  <si>
    <t>ﾊﾟｲﾌﾟ重量</t>
    <rPh sb="5" eb="7">
      <t>ジュウリョウ</t>
    </rPh>
    <phoneticPr fontId="3"/>
  </si>
  <si>
    <t>平均径</t>
    <rPh sb="0" eb="2">
      <t>ヘイキン</t>
    </rPh>
    <rPh sb="2" eb="3">
      <t>ケイ</t>
    </rPh>
    <phoneticPr fontId="3"/>
  </si>
  <si>
    <t>延長さ</t>
    <rPh sb="0" eb="1">
      <t>ノ</t>
    </rPh>
    <rPh sb="1" eb="2">
      <t>ナガ</t>
    </rPh>
    <phoneticPr fontId="3"/>
  </si>
  <si>
    <t>Sch. No.</t>
  </si>
  <si>
    <t>材質</t>
    <rPh sb="0" eb="2">
      <t>ザイシツ</t>
    </rPh>
    <phoneticPr fontId="3"/>
  </si>
  <si>
    <t>溶接工</t>
    <rPh sb="0" eb="2">
      <t>ヨウセツ</t>
    </rPh>
    <rPh sb="2" eb="3">
      <t>コウ</t>
    </rPh>
    <phoneticPr fontId="3"/>
  </si>
  <si>
    <t>配管工</t>
    <rPh sb="0" eb="2">
      <t>ハイカン</t>
    </rPh>
    <rPh sb="2" eb="3">
      <t>コウ</t>
    </rPh>
    <phoneticPr fontId="3"/>
  </si>
  <si>
    <t>　　小　　計</t>
    <rPh sb="2" eb="3">
      <t>ショウ</t>
    </rPh>
    <rPh sb="5" eb="6">
      <t>ケイ</t>
    </rPh>
    <phoneticPr fontId="3"/>
  </si>
  <si>
    <t>ﾍｯﾀﾞ枝管製作</t>
    <rPh sb="4" eb="5">
      <t>エダ</t>
    </rPh>
    <rPh sb="5" eb="6">
      <t>カン</t>
    </rPh>
    <rPh sb="6" eb="7">
      <t>セイ</t>
    </rPh>
    <rPh sb="7" eb="8">
      <t>サク</t>
    </rPh>
    <phoneticPr fontId="3"/>
  </si>
  <si>
    <t>ﾊﾟｲﾌﾟ部品横持</t>
    <rPh sb="5" eb="7">
      <t>ブヒン</t>
    </rPh>
    <rPh sb="7" eb="8">
      <t>ヨコ</t>
    </rPh>
    <rPh sb="8" eb="9">
      <t>モ</t>
    </rPh>
    <phoneticPr fontId="3"/>
  </si>
  <si>
    <t>金額</t>
    <rPh sb="0" eb="2">
      <t>キンガク</t>
    </rPh>
    <phoneticPr fontId="3"/>
  </si>
  <si>
    <t>重量</t>
    <rPh sb="0" eb="2">
      <t>ジュウリョウ</t>
    </rPh>
    <phoneticPr fontId="3"/>
  </si>
  <si>
    <t>数量</t>
    <rPh sb="0" eb="1">
      <t>カズ</t>
    </rPh>
    <rPh sb="1" eb="2">
      <t>リョウ</t>
    </rPh>
    <phoneticPr fontId="3"/>
  </si>
  <si>
    <t>雑工事名</t>
    <rPh sb="0" eb="1">
      <t>ザツ</t>
    </rPh>
    <rPh sb="1" eb="3">
      <t>コウジ</t>
    </rPh>
    <rPh sb="3" eb="4">
      <t>メイ</t>
    </rPh>
    <phoneticPr fontId="3"/>
  </si>
  <si>
    <t xml:space="preserve"> </t>
  </si>
  <si>
    <t>m3</t>
  </si>
  <si>
    <t xml:space="preserve"> m</t>
  </si>
  <si>
    <t>n2ｶﾞｽ他</t>
    <rPh sb="5" eb="6">
      <t>タ</t>
    </rPh>
    <phoneticPr fontId="3"/>
  </si>
  <si>
    <t>ｱﾙｺﾞﾝ</t>
  </si>
  <si>
    <t>ｱｾﾁﾚﾝ</t>
  </si>
  <si>
    <t>酸素</t>
    <rPh sb="0" eb="2">
      <t>サンソ</t>
    </rPh>
    <phoneticPr fontId="3"/>
  </si>
  <si>
    <t>溶接棒</t>
    <rPh sb="0" eb="2">
      <t>ヨウセツ</t>
    </rPh>
    <rPh sb="2" eb="3">
      <t>ボウ</t>
    </rPh>
    <phoneticPr fontId="3"/>
  </si>
  <si>
    <t>工事</t>
    <rPh sb="0" eb="2">
      <t>コウジ</t>
    </rPh>
    <phoneticPr fontId="3"/>
  </si>
  <si>
    <t>合　　　　計</t>
    <rPh sb="0" eb="1">
      <t>ゴウ</t>
    </rPh>
    <rPh sb="5" eb="6">
      <t>ケイ</t>
    </rPh>
    <phoneticPr fontId="3"/>
  </si>
  <si>
    <t>経費</t>
    <rPh sb="0" eb="2">
      <t>ケイヒ</t>
    </rPh>
    <phoneticPr fontId="3"/>
  </si>
  <si>
    <t>⑬</t>
  </si>
  <si>
    <t>一般管理費</t>
  </si>
  <si>
    <t>安全､管理他経費</t>
    <rPh sb="0" eb="2">
      <t>アンゼン</t>
    </rPh>
    <rPh sb="3" eb="5">
      <t>カンリ</t>
    </rPh>
    <rPh sb="5" eb="6">
      <t>タ</t>
    </rPh>
    <rPh sb="6" eb="8">
      <t>ケイヒ</t>
    </rPh>
    <phoneticPr fontId="3"/>
  </si>
  <si>
    <t>⑫</t>
  </si>
  <si>
    <t>運搬、重機費</t>
    <rPh sb="0" eb="2">
      <t>ウンパン</t>
    </rPh>
    <rPh sb="3" eb="5">
      <t>ジュウキ</t>
    </rPh>
    <rPh sb="5" eb="6">
      <t>ヒ</t>
    </rPh>
    <phoneticPr fontId="3"/>
  </si>
  <si>
    <t>⑪</t>
  </si>
  <si>
    <t>工事費小計</t>
  </si>
  <si>
    <t>その他工事</t>
    <rPh sb="2" eb="3">
      <t>タ</t>
    </rPh>
    <rPh sb="3" eb="5">
      <t>コウジ</t>
    </rPh>
    <phoneticPr fontId="3"/>
  </si>
  <si>
    <t>⑩</t>
  </si>
  <si>
    <t>仮設工事</t>
    <rPh sb="0" eb="2">
      <t>カセツ</t>
    </rPh>
    <rPh sb="2" eb="4">
      <t>コウジ</t>
    </rPh>
    <phoneticPr fontId="3"/>
  </si>
  <si>
    <t>⑨</t>
  </si>
  <si>
    <t>配管付帯工事</t>
    <rPh sb="0" eb="2">
      <t>ハイカン</t>
    </rPh>
    <rPh sb="2" eb="4">
      <t>フタイ</t>
    </rPh>
    <rPh sb="4" eb="6">
      <t>コウジ</t>
    </rPh>
    <phoneticPr fontId="3"/>
  </si>
  <si>
    <t>⑧</t>
  </si>
  <si>
    <t>消耗品費(Field)</t>
    <rPh sb="0" eb="2">
      <t>ショウモウ</t>
    </rPh>
    <rPh sb="2" eb="3">
      <t>ヒン</t>
    </rPh>
    <rPh sb="3" eb="4">
      <t>ヒ</t>
    </rPh>
    <phoneticPr fontId="3"/>
  </si>
  <si>
    <t>⑦</t>
  </si>
  <si>
    <t>⑥</t>
  </si>
  <si>
    <t>検査工事</t>
    <rPh sb="0" eb="2">
      <t>ケンサ</t>
    </rPh>
    <rPh sb="2" eb="4">
      <t>コウジ</t>
    </rPh>
    <phoneticPr fontId="3"/>
  </si>
  <si>
    <t>⑤</t>
  </si>
  <si>
    <t>ﾊﾟｲﾌﾟｻﾎﾟｰﾄ製作組立</t>
    <rPh sb="10" eb="12">
      <t>セイサク</t>
    </rPh>
    <rPh sb="12" eb="14">
      <t>クミタ</t>
    </rPh>
    <phoneticPr fontId="3"/>
  </si>
  <si>
    <t>④</t>
  </si>
  <si>
    <t>③</t>
  </si>
  <si>
    <t>②</t>
  </si>
  <si>
    <t>配管工事(Shop)</t>
    <rPh sb="0" eb="2">
      <t>ハイカン</t>
    </rPh>
    <rPh sb="2" eb="4">
      <t>コウジ</t>
    </rPh>
    <phoneticPr fontId="3"/>
  </si>
  <si>
    <t>①</t>
  </si>
  <si>
    <t>No.</t>
  </si>
  <si>
    <t>小計工数</t>
    <rPh sb="0" eb="1">
      <t>ショウ</t>
    </rPh>
    <rPh sb="1" eb="2">
      <t>ケイ</t>
    </rPh>
    <rPh sb="2" eb="4">
      <t>コウスウ</t>
    </rPh>
    <phoneticPr fontId="3"/>
  </si>
  <si>
    <t>数量</t>
    <rPh sb="0" eb="2">
      <t>スウリョウ</t>
    </rPh>
    <phoneticPr fontId="3"/>
  </si>
  <si>
    <t>工事名</t>
    <rPh sb="0" eb="2">
      <t>コウジ</t>
    </rPh>
    <rPh sb="2" eb="3">
      <t>メイ</t>
    </rPh>
    <phoneticPr fontId="3"/>
  </si>
  <si>
    <t>溶接</t>
    <rPh sb="0" eb="2">
      <t>ヨウセツ</t>
    </rPh>
    <phoneticPr fontId="2"/>
  </si>
  <si>
    <t>配管</t>
    <rPh sb="0" eb="2">
      <t>ハイカン</t>
    </rPh>
    <phoneticPr fontId="2"/>
  </si>
  <si>
    <t>工数</t>
    <rPh sb="0" eb="2">
      <t>コウスウ</t>
    </rPh>
    <phoneticPr fontId="2"/>
  </si>
  <si>
    <t>Shop</t>
    <phoneticPr fontId="2"/>
  </si>
  <si>
    <t>Field</t>
    <phoneticPr fontId="2"/>
  </si>
  <si>
    <t>計</t>
    <rPh sb="0" eb="1">
      <t>ケイ</t>
    </rPh>
    <phoneticPr fontId="2"/>
  </si>
  <si>
    <t>ﾀﾞｲﾔｲﾝﾁ</t>
    <phoneticPr fontId="2"/>
  </si>
  <si>
    <t>DB</t>
  </si>
  <si>
    <t>DB</t>
    <phoneticPr fontId="2"/>
  </si>
  <si>
    <t>ｲﾝﾁﾒｰﾀ</t>
    <phoneticPr fontId="2"/>
  </si>
  <si>
    <t>ﾀﾞｲﾔｲﾝﾁ</t>
    <phoneticPr fontId="2"/>
  </si>
  <si>
    <t>BM</t>
  </si>
  <si>
    <t>BM</t>
    <phoneticPr fontId="2"/>
  </si>
  <si>
    <t>∑L: (m)</t>
    <phoneticPr fontId="2"/>
  </si>
  <si>
    <t>工賃</t>
    <rPh sb="0" eb="2">
      <t>コウチン</t>
    </rPh>
    <phoneticPr fontId="2"/>
  </si>
  <si>
    <t>ﾌﾟﾚﾌｧﾌﾞ率</t>
    <phoneticPr fontId="2"/>
  </si>
  <si>
    <t>ﾀﾞｲﾔｲﾝﾁ</t>
    <phoneticPr fontId="2"/>
  </si>
  <si>
    <t>DB</t>
    <phoneticPr fontId="2"/>
  </si>
  <si>
    <t>O</t>
  </si>
  <si>
    <t>O</t>
    <phoneticPr fontId="2"/>
  </si>
  <si>
    <t>ﾄﾚｽ配管</t>
    <rPh sb="3" eb="5">
      <t>ハイカン</t>
    </rPh>
    <phoneticPr fontId="3"/>
  </si>
  <si>
    <t>仕様</t>
  </si>
  <si>
    <t xml:space="preserve"> Shop工数</t>
    <phoneticPr fontId="2"/>
  </si>
  <si>
    <t>Field工数</t>
    <phoneticPr fontId="2"/>
  </si>
  <si>
    <t>計装品取付,外し</t>
    <rPh sb="0" eb="1">
      <t>ケイ</t>
    </rPh>
    <rPh sb="1" eb="2">
      <t>ソウ</t>
    </rPh>
    <rPh sb="2" eb="3">
      <t>シナ</t>
    </rPh>
    <rPh sb="3" eb="5">
      <t>トリツケ</t>
    </rPh>
    <rPh sb="6" eb="7">
      <t>ハズ</t>
    </rPh>
    <phoneticPr fontId="3"/>
  </si>
  <si>
    <t>ﾊﾟｲﾌﾟ曲,その他</t>
    <rPh sb="5" eb="6">
      <t>マ</t>
    </rPh>
    <rPh sb="9" eb="10">
      <t>タ</t>
    </rPh>
    <phoneticPr fontId="3"/>
  </si>
  <si>
    <t>ﾊﾞﾙﾌﾞ取付</t>
    <rPh sb="5" eb="7">
      <t>トリツケ</t>
    </rPh>
    <phoneticPr fontId="3"/>
  </si>
  <si>
    <t>ﾎﾞﾙﾄ締付</t>
    <rPh sb="4" eb="5">
      <t>シ</t>
    </rPh>
    <rPh sb="5" eb="6">
      <t>ツ</t>
    </rPh>
    <phoneticPr fontId="3"/>
  </si>
  <si>
    <t>P</t>
    <phoneticPr fontId="2"/>
  </si>
  <si>
    <t>W</t>
    <phoneticPr fontId="2"/>
  </si>
  <si>
    <t>O</t>
    <phoneticPr fontId="2"/>
  </si>
  <si>
    <t>BM</t>
    <phoneticPr fontId="2"/>
  </si>
  <si>
    <t>ﾀﾞｲﾔｲﾝﾁ</t>
    <phoneticPr fontId="2"/>
  </si>
  <si>
    <t>DB</t>
    <phoneticPr fontId="2"/>
  </si>
  <si>
    <t>N2ｶﾞｽ</t>
    <phoneticPr fontId="2"/>
  </si>
  <si>
    <t>他,BM</t>
    <rPh sb="0" eb="1">
      <t>タ</t>
    </rPh>
    <phoneticPr fontId="3"/>
  </si>
  <si>
    <t>BM</t>
    <phoneticPr fontId="2"/>
  </si>
  <si>
    <t>k\</t>
    <phoneticPr fontId="2"/>
  </si>
  <si>
    <t>\</t>
    <phoneticPr fontId="2"/>
  </si>
  <si>
    <t>材質</t>
  </si>
  <si>
    <t>工事</t>
    <phoneticPr fontId="3"/>
  </si>
  <si>
    <t>場所</t>
  </si>
  <si>
    <t>k\</t>
    <phoneticPr fontId="3"/>
  </si>
  <si>
    <t>\</t>
    <phoneticPr fontId="3"/>
  </si>
  <si>
    <t>方</t>
    <rPh sb="0" eb="1">
      <t>カタ</t>
    </rPh>
    <phoneticPr fontId="3"/>
  </si>
  <si>
    <t>消耗品費(Shop)</t>
    <phoneticPr fontId="3"/>
  </si>
  <si>
    <t>配管工事(Field)</t>
    <rPh sb="0" eb="2">
      <t>ハイカン</t>
    </rPh>
    <rPh sb="2" eb="4">
      <t>コウジ</t>
    </rPh>
    <phoneticPr fontId="3"/>
  </si>
  <si>
    <t>ﾌﾟﾚ</t>
    <phoneticPr fontId="3"/>
  </si>
  <si>
    <t>ﾌｧﾌﾞ率</t>
    <phoneticPr fontId="3"/>
  </si>
  <si>
    <t>合計</t>
    <rPh sb="0" eb="1">
      <t>ゴウ</t>
    </rPh>
    <rPh sb="1" eb="2">
      <t>ケイ</t>
    </rPh>
    <phoneticPr fontId="3"/>
  </si>
  <si>
    <t>配管工事　バルブ取付、組立、他</t>
    <rPh sb="0" eb="2">
      <t>ハイカン</t>
    </rPh>
    <rPh sb="2" eb="4">
      <t>コウジ</t>
    </rPh>
    <rPh sb="8" eb="10">
      <t>トリツケ</t>
    </rPh>
    <rPh sb="11" eb="13">
      <t>クミタテ</t>
    </rPh>
    <rPh sb="14" eb="15">
      <t>ホカ</t>
    </rPh>
    <phoneticPr fontId="2"/>
  </si>
  <si>
    <t>配管工事　副資材・消耗品費</t>
    <rPh sb="0" eb="2">
      <t>ハイカン</t>
    </rPh>
    <rPh sb="2" eb="4">
      <t>コウジ</t>
    </rPh>
    <rPh sb="5" eb="8">
      <t>フクシザイ</t>
    </rPh>
    <rPh sb="9" eb="11">
      <t>ショウモウ</t>
    </rPh>
    <rPh sb="11" eb="12">
      <t>ヒン</t>
    </rPh>
    <rPh sb="12" eb="13">
      <t>ヒ</t>
    </rPh>
    <phoneticPr fontId="3"/>
  </si>
  <si>
    <t>配管工事費</t>
    <rPh sb="0" eb="2">
      <t>ハイカン</t>
    </rPh>
    <rPh sb="2" eb="4">
      <t>コウジ</t>
    </rPh>
    <rPh sb="4" eb="5">
      <t>ヒ</t>
    </rPh>
    <phoneticPr fontId="3"/>
  </si>
  <si>
    <t>金額</t>
    <rPh sb="0" eb="1">
      <t>キン</t>
    </rPh>
    <rPh sb="1" eb="2">
      <t>ガク</t>
    </rPh>
    <phoneticPr fontId="3"/>
  </si>
  <si>
    <t>\</t>
    <phoneticPr fontId="3"/>
  </si>
  <si>
    <t>工数・金額</t>
    <rPh sb="0" eb="2">
      <t>コウスウ</t>
    </rPh>
    <rPh sb="3" eb="5">
      <t>キンガク</t>
    </rPh>
    <phoneticPr fontId="3"/>
  </si>
  <si>
    <t>配管工事費(Shop&amp;Field) 純工事工数・工事費明細</t>
    <rPh sb="0" eb="2">
      <t>ハイカン</t>
    </rPh>
    <rPh sb="2" eb="5">
      <t>コウジヒ</t>
    </rPh>
    <rPh sb="18" eb="19">
      <t>ジュン</t>
    </rPh>
    <rPh sb="19" eb="21">
      <t>コウジ</t>
    </rPh>
    <rPh sb="21" eb="23">
      <t>コウスウ</t>
    </rPh>
    <rPh sb="24" eb="26">
      <t>コウジ</t>
    </rPh>
    <rPh sb="26" eb="27">
      <t>ヒ</t>
    </rPh>
    <rPh sb="27" eb="29">
      <t>メイサイ</t>
    </rPh>
    <phoneticPr fontId="3"/>
  </si>
  <si>
    <t>P+W+O</t>
    <phoneticPr fontId="2"/>
  </si>
  <si>
    <t>ﾊﾞﾙﾌﾞ取付,組立他</t>
    <rPh sb="5" eb="7">
      <t>トリツケ</t>
    </rPh>
    <rPh sb="8" eb="10">
      <t>クミタ</t>
    </rPh>
    <rPh sb="10" eb="11">
      <t>タ</t>
    </rPh>
    <phoneticPr fontId="3"/>
  </si>
  <si>
    <t>工賃 \/方</t>
    <rPh sb="0" eb="2">
      <t>コウチン</t>
    </rPh>
    <rPh sb="5" eb="6">
      <t>カタ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</si>
</sst>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1" formatCode="_ * #,##0_ ;_ * \-#,##0_ ;_ * &quot;-&quot;_ ;_ @_ "/>
    <numFmt numFmtId="176" formatCode="#,##0_ "/>
    <numFmt numFmtId="178" formatCode="0.0_);[Red]\(0.0\)"/>
    <numFmt numFmtId="181" formatCode="0_);[Red]\(0\)"/>
    <numFmt numFmtId="183" formatCode="#,##0_);[Red]\(#,##0\)"/>
    <numFmt numFmtId="184" formatCode="#,##0.0;[Red]\-#,##0.0"/>
  </numFmts>
  <fonts count="7">
    <font>
      <sz val="11"/>
      <color theme="1"/>
      <name val="ＭＳ Ｐゴシック"/>
      <family val="3"/>
      <charset val="128"/>
      <scheme val="minor"/>
    </font>
    <font>
      <sz val="11"/>
      <name val="MS PGothic"/>
      <family val="3"/>
    </font>
    <font>
      <sz val="6"/>
      <name val="ＭＳ Ｐゴシック"/>
      <family val="3"/>
      <charset val="128"/>
      <scheme val="minor"/>
    </font>
    <font>
      <sz val="6"/>
      <name val="MS PGothic"/>
      <family val="3"/>
    </font>
    <font>
      <sz val="8"/>
      <name val="ＭＳ 明朝"/>
      <family val="1"/>
      <charset val="128"/>
    </font>
    <font>
      <sz val="11"/>
      <color theme="1"/>
      <name val="ＭＳ Ｐゴシック"/>
      <family val="3"/>
      <charset val="128"/>
      <scheme val="minor"/>
    </font>
    <font>
      <sz val="8"/>
      <color rgb="FF000080"/>
      <name val="ＭＳ 明朝"/>
      <family val="1"/>
      <charset val="128"/>
    </font>
  </fonts>
  <fills count="3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</fills>
  <borders count="26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>
      <alignment vertical="center"/>
    </xf>
    <xf numFmtId="38" fontId="5" fillId="0" borderId="0" applyFont="0" applyFill="0" applyBorder="0" applyAlignment="0" applyProtection="0">
      <alignment vertical="center"/>
    </xf>
  </cellStyleXfs>
  <cellXfs count="107">
    <xf numFmtId="0" fontId="0" fillId="0" borderId="0" xfId="0"/>
    <xf numFmtId="0" fontId="4" fillId="0" borderId="0" xfId="1" applyFont="1" applyAlignment="1">
      <alignment vertical="center"/>
    </xf>
    <xf numFmtId="0" fontId="4" fillId="0" borderId="0" xfId="1" applyFont="1" applyAlignment="1">
      <alignment horizontal="right" vertical="center"/>
    </xf>
    <xf numFmtId="0" fontId="4" fillId="0" borderId="0" xfId="1" applyFont="1" applyAlignment="1">
      <alignment horizontal="center" vertical="center"/>
    </xf>
    <xf numFmtId="0" fontId="4" fillId="0" borderId="0" xfId="1" applyFont="1" applyBorder="1" applyAlignment="1">
      <alignment horizontal="center" vertical="center"/>
    </xf>
    <xf numFmtId="0" fontId="4" fillId="0" borderId="0" xfId="1" applyFont="1" applyBorder="1" applyAlignment="1">
      <alignment vertical="center"/>
    </xf>
    <xf numFmtId="0" fontId="4" fillId="0" borderId="0" xfId="1" applyFont="1" applyAlignment="1">
      <alignment horizontal="left" vertical="center"/>
    </xf>
    <xf numFmtId="0" fontId="4" fillId="0" borderId="9" xfId="1" applyFont="1" applyBorder="1" applyAlignment="1">
      <alignment vertical="center"/>
    </xf>
    <xf numFmtId="176" fontId="4" fillId="0" borderId="0" xfId="1" applyNumberFormat="1" applyFont="1" applyAlignment="1">
      <alignment vertical="center"/>
    </xf>
    <xf numFmtId="38" fontId="4" fillId="0" borderId="3" xfId="2" applyFont="1" applyBorder="1" applyAlignment="1">
      <alignment horizontal="right" vertical="center"/>
    </xf>
    <xf numFmtId="38" fontId="4" fillId="0" borderId="6" xfId="2" applyFont="1" applyBorder="1" applyAlignment="1">
      <alignment vertical="center"/>
    </xf>
    <xf numFmtId="38" fontId="4" fillId="0" borderId="7" xfId="2" applyFont="1" applyBorder="1" applyAlignment="1">
      <alignment vertical="center"/>
    </xf>
    <xf numFmtId="38" fontId="4" fillId="0" borderId="4" xfId="2" applyFont="1" applyBorder="1" applyAlignment="1">
      <alignment vertical="center"/>
    </xf>
    <xf numFmtId="38" fontId="4" fillId="0" borderId="0" xfId="2" applyFont="1" applyAlignment="1">
      <alignment vertical="center"/>
    </xf>
    <xf numFmtId="38" fontId="4" fillId="0" borderId="3" xfId="2" applyFont="1" applyBorder="1" applyAlignment="1">
      <alignment vertical="center"/>
    </xf>
    <xf numFmtId="38" fontId="4" fillId="0" borderId="2" xfId="2" applyFont="1" applyBorder="1" applyAlignment="1">
      <alignment vertical="center"/>
    </xf>
    <xf numFmtId="0" fontId="4" fillId="0" borderId="5" xfId="1" applyFont="1" applyBorder="1" applyAlignment="1">
      <alignment horizontal="center" vertical="center"/>
    </xf>
    <xf numFmtId="0" fontId="4" fillId="0" borderId="9" xfId="1" applyFont="1" applyBorder="1" applyAlignment="1">
      <alignment horizontal="center" vertical="center"/>
    </xf>
    <xf numFmtId="0" fontId="4" fillId="0" borderId="14" xfId="1" applyFont="1" applyBorder="1" applyAlignment="1">
      <alignment vertical="center"/>
    </xf>
    <xf numFmtId="38" fontId="4" fillId="0" borderId="0" xfId="2" applyFont="1" applyBorder="1" applyAlignment="1">
      <alignment vertical="center"/>
    </xf>
    <xf numFmtId="0" fontId="4" fillId="0" borderId="0" xfId="1" applyFont="1" applyBorder="1" applyAlignment="1">
      <alignment horizontal="left" vertical="center"/>
    </xf>
    <xf numFmtId="0" fontId="4" fillId="0" borderId="14" xfId="1" applyFont="1" applyBorder="1" applyAlignment="1">
      <alignment horizontal="center" vertical="center"/>
    </xf>
    <xf numFmtId="0" fontId="4" fillId="0" borderId="16" xfId="1" applyFont="1" applyBorder="1" applyAlignment="1">
      <alignment horizontal="center" vertical="center"/>
    </xf>
    <xf numFmtId="0" fontId="4" fillId="0" borderId="17" xfId="1" applyFont="1" applyBorder="1" applyAlignment="1">
      <alignment horizontal="center" vertical="center"/>
    </xf>
    <xf numFmtId="0" fontId="4" fillId="2" borderId="14" xfId="1" applyFont="1" applyFill="1" applyBorder="1" applyAlignment="1">
      <alignment horizontal="center" vertical="center"/>
    </xf>
    <xf numFmtId="0" fontId="4" fillId="2" borderId="10" xfId="1" applyFont="1" applyFill="1" applyBorder="1" applyAlignment="1">
      <alignment horizontal="center" vertical="center"/>
    </xf>
    <xf numFmtId="0" fontId="4" fillId="2" borderId="14" xfId="1" applyFont="1" applyFill="1" applyBorder="1" applyAlignment="1">
      <alignment vertical="center"/>
    </xf>
    <xf numFmtId="0" fontId="4" fillId="2" borderId="15" xfId="1" applyFont="1" applyFill="1" applyBorder="1" applyAlignment="1">
      <alignment horizontal="center" vertical="center"/>
    </xf>
    <xf numFmtId="0" fontId="4" fillId="2" borderId="1" xfId="1" applyFont="1" applyFill="1" applyBorder="1" applyAlignment="1">
      <alignment horizontal="center" vertical="center"/>
    </xf>
    <xf numFmtId="0" fontId="4" fillId="2" borderId="5" xfId="1" applyFont="1" applyFill="1" applyBorder="1" applyAlignment="1">
      <alignment horizontal="center" vertical="center"/>
    </xf>
    <xf numFmtId="0" fontId="4" fillId="2" borderId="8" xfId="1" applyFont="1" applyFill="1" applyBorder="1" applyAlignment="1">
      <alignment horizontal="center" vertical="center"/>
    </xf>
    <xf numFmtId="0" fontId="4" fillId="2" borderId="16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center" vertical="center"/>
    </xf>
    <xf numFmtId="0" fontId="4" fillId="2" borderId="6" xfId="1" applyFont="1" applyFill="1" applyBorder="1" applyAlignment="1">
      <alignment horizontal="center" vertical="center"/>
    </xf>
    <xf numFmtId="0" fontId="4" fillId="2" borderId="17" xfId="1" applyFont="1" applyFill="1" applyBorder="1" applyAlignment="1">
      <alignment horizontal="center" vertical="center"/>
    </xf>
    <xf numFmtId="0" fontId="4" fillId="0" borderId="5" xfId="1" applyFont="1" applyBorder="1" applyAlignment="1">
      <alignment vertical="center"/>
    </xf>
    <xf numFmtId="0" fontId="4" fillId="2" borderId="7" xfId="1" applyFont="1" applyFill="1" applyBorder="1" applyAlignment="1">
      <alignment horizontal="center" vertical="center"/>
    </xf>
    <xf numFmtId="0" fontId="4" fillId="2" borderId="15" xfId="1" applyFont="1" applyFill="1" applyBorder="1" applyAlignment="1">
      <alignment horizontal="center" vertical="center"/>
    </xf>
    <xf numFmtId="0" fontId="4" fillId="2" borderId="12" xfId="1" applyFont="1" applyFill="1" applyBorder="1" applyAlignment="1">
      <alignment horizontal="center" vertical="center"/>
    </xf>
    <xf numFmtId="38" fontId="6" fillId="0" borderId="14" xfId="2" applyFont="1" applyBorder="1" applyAlignment="1">
      <alignment vertical="center"/>
    </xf>
    <xf numFmtId="38" fontId="6" fillId="0" borderId="14" xfId="2" applyFont="1" applyBorder="1" applyAlignment="1">
      <alignment horizontal="right" vertical="center"/>
    </xf>
    <xf numFmtId="38" fontId="4" fillId="0" borderId="14" xfId="2" applyFont="1" applyBorder="1" applyAlignment="1">
      <alignment vertical="center"/>
    </xf>
    <xf numFmtId="38" fontId="6" fillId="0" borderId="3" xfId="2" applyFont="1" applyBorder="1" applyAlignment="1">
      <alignment horizontal="right" vertical="center"/>
    </xf>
    <xf numFmtId="38" fontId="6" fillId="0" borderId="13" xfId="2" applyFont="1" applyBorder="1" applyAlignment="1">
      <alignment vertical="center"/>
    </xf>
    <xf numFmtId="38" fontId="4" fillId="0" borderId="9" xfId="2" applyFont="1" applyBorder="1" applyAlignment="1">
      <alignment vertical="center"/>
    </xf>
    <xf numFmtId="38" fontId="4" fillId="0" borderId="12" xfId="2" applyFont="1" applyBorder="1" applyAlignment="1">
      <alignment horizontal="right" vertical="center"/>
    </xf>
    <xf numFmtId="38" fontId="4" fillId="0" borderId="9" xfId="2" applyFont="1" applyBorder="1" applyAlignment="1">
      <alignment horizontal="right" vertical="center"/>
    </xf>
    <xf numFmtId="38" fontId="4" fillId="0" borderId="6" xfId="2" applyFont="1" applyBorder="1" applyAlignment="1">
      <alignment horizontal="right" vertical="center"/>
    </xf>
    <xf numFmtId="38" fontId="6" fillId="0" borderId="13" xfId="2" applyFont="1" applyBorder="1" applyAlignment="1">
      <alignment horizontal="right" vertical="center"/>
    </xf>
    <xf numFmtId="38" fontId="6" fillId="0" borderId="3" xfId="2" applyFont="1" applyBorder="1" applyAlignment="1">
      <alignment vertical="center"/>
    </xf>
    <xf numFmtId="38" fontId="4" fillId="0" borderId="12" xfId="2" applyFont="1" applyBorder="1" applyAlignment="1">
      <alignment vertical="center"/>
    </xf>
    <xf numFmtId="38" fontId="4" fillId="0" borderId="13" xfId="2" applyFont="1" applyBorder="1" applyAlignment="1">
      <alignment vertical="center"/>
    </xf>
    <xf numFmtId="38" fontId="6" fillId="0" borderId="2" xfId="2" applyFont="1" applyBorder="1" applyAlignment="1">
      <alignment vertical="center"/>
    </xf>
    <xf numFmtId="38" fontId="4" fillId="0" borderId="13" xfId="2" applyFont="1" applyBorder="1" applyAlignment="1">
      <alignment horizontal="right" vertical="center"/>
    </xf>
    <xf numFmtId="38" fontId="4" fillId="0" borderId="5" xfId="2" applyFont="1" applyBorder="1" applyAlignment="1">
      <alignment vertical="center"/>
    </xf>
    <xf numFmtId="38" fontId="6" fillId="0" borderId="11" xfId="2" applyFont="1" applyBorder="1" applyAlignment="1">
      <alignment horizontal="right" vertical="center"/>
    </xf>
    <xf numFmtId="38" fontId="6" fillId="0" borderId="4" xfId="2" applyFont="1" applyBorder="1" applyAlignment="1">
      <alignment horizontal="right" vertical="center"/>
    </xf>
    <xf numFmtId="38" fontId="6" fillId="0" borderId="11" xfId="2" applyFont="1" applyBorder="1" applyAlignment="1">
      <alignment vertical="center"/>
    </xf>
    <xf numFmtId="38" fontId="6" fillId="0" borderId="5" xfId="2" applyFont="1" applyBorder="1" applyAlignment="1">
      <alignment horizontal="right" vertical="center"/>
    </xf>
    <xf numFmtId="38" fontId="4" fillId="0" borderId="11" xfId="2" applyFont="1" applyBorder="1" applyAlignment="1">
      <alignment horizontal="right" vertical="center"/>
    </xf>
    <xf numFmtId="41" fontId="4" fillId="0" borderId="0" xfId="1" applyNumberFormat="1" applyFont="1" applyAlignment="1">
      <alignment vertical="center"/>
    </xf>
    <xf numFmtId="181" fontId="4" fillId="0" borderId="0" xfId="1" applyNumberFormat="1" applyFont="1" applyAlignment="1">
      <alignment vertical="center"/>
    </xf>
    <xf numFmtId="178" fontId="4" fillId="0" borderId="0" xfId="1" applyNumberFormat="1" applyFont="1" applyAlignment="1">
      <alignment vertical="center"/>
    </xf>
    <xf numFmtId="38" fontId="4" fillId="0" borderId="16" xfId="2" applyFont="1" applyBorder="1" applyAlignment="1">
      <alignment vertical="center"/>
    </xf>
    <xf numFmtId="0" fontId="4" fillId="0" borderId="18" xfId="1" applyFont="1" applyBorder="1" applyAlignment="1">
      <alignment horizontal="center" vertical="center"/>
    </xf>
    <xf numFmtId="38" fontId="4" fillId="0" borderId="18" xfId="2" applyFont="1" applyBorder="1" applyAlignment="1">
      <alignment vertical="center"/>
    </xf>
    <xf numFmtId="38" fontId="4" fillId="0" borderId="17" xfId="2" applyFont="1" applyBorder="1" applyAlignment="1">
      <alignment vertical="center"/>
    </xf>
    <xf numFmtId="38" fontId="4" fillId="0" borderId="19" xfId="2" applyFont="1" applyBorder="1" applyAlignment="1">
      <alignment vertical="center"/>
    </xf>
    <xf numFmtId="38" fontId="4" fillId="0" borderId="14" xfId="2" applyFont="1" applyBorder="1" applyAlignment="1">
      <alignment vertical="center"/>
    </xf>
    <xf numFmtId="38" fontId="4" fillId="0" borderId="5" xfId="2" applyFont="1" applyBorder="1" applyAlignment="1">
      <alignment vertical="center"/>
    </xf>
    <xf numFmtId="38" fontId="4" fillId="0" borderId="9" xfId="2" applyFont="1" applyBorder="1" applyAlignment="1">
      <alignment vertical="center"/>
    </xf>
    <xf numFmtId="41" fontId="4" fillId="0" borderId="8" xfId="1" applyNumberFormat="1" applyFont="1" applyBorder="1" applyAlignment="1">
      <alignment vertical="center"/>
    </xf>
    <xf numFmtId="0" fontId="4" fillId="0" borderId="8" xfId="1" applyFont="1" applyBorder="1" applyAlignment="1">
      <alignment vertical="center"/>
    </xf>
    <xf numFmtId="38" fontId="4" fillId="0" borderId="16" xfId="2" applyFont="1" applyBorder="1" applyAlignment="1">
      <alignment horizontal="center" vertical="center"/>
    </xf>
    <xf numFmtId="38" fontId="4" fillId="0" borderId="18" xfId="2" applyFont="1" applyBorder="1" applyAlignment="1">
      <alignment horizontal="center" vertical="center"/>
    </xf>
    <xf numFmtId="38" fontId="4" fillId="0" borderId="17" xfId="2" applyFont="1" applyBorder="1" applyAlignment="1">
      <alignment horizontal="center" vertical="center"/>
    </xf>
    <xf numFmtId="183" fontId="4" fillId="0" borderId="1" xfId="1" applyNumberFormat="1" applyFont="1" applyBorder="1" applyAlignment="1">
      <alignment horizontal="right" vertical="center"/>
    </xf>
    <xf numFmtId="0" fontId="4" fillId="2" borderId="15" xfId="1" applyFont="1" applyFill="1" applyBorder="1" applyAlignment="1">
      <alignment horizontal="centerContinuous" vertical="center"/>
    </xf>
    <xf numFmtId="0" fontId="4" fillId="2" borderId="10" xfId="1" applyFont="1" applyFill="1" applyBorder="1" applyAlignment="1">
      <alignment horizontal="centerContinuous" vertical="center"/>
    </xf>
    <xf numFmtId="0" fontId="4" fillId="2" borderId="1" xfId="1" applyFont="1" applyFill="1" applyBorder="1" applyAlignment="1">
      <alignment horizontal="centerContinuous" vertical="center"/>
    </xf>
    <xf numFmtId="184" fontId="4" fillId="0" borderId="16" xfId="2" applyNumberFormat="1" applyFont="1" applyBorder="1" applyAlignment="1">
      <alignment vertical="center"/>
    </xf>
    <xf numFmtId="184" fontId="4" fillId="0" borderId="18" xfId="2" applyNumberFormat="1" applyFont="1" applyBorder="1" applyAlignment="1">
      <alignment vertical="center"/>
    </xf>
    <xf numFmtId="184" fontId="4" fillId="0" borderId="17" xfId="2" applyNumberFormat="1" applyFont="1" applyBorder="1" applyAlignment="1">
      <alignment vertical="center"/>
    </xf>
    <xf numFmtId="0" fontId="4" fillId="2" borderId="3" xfId="1" applyFont="1" applyFill="1" applyBorder="1" applyAlignment="1">
      <alignment horizontal="center" vertical="center"/>
    </xf>
    <xf numFmtId="0" fontId="4" fillId="2" borderId="8" xfId="1" applyFont="1" applyFill="1" applyBorder="1" applyAlignment="1">
      <alignment horizontal="centerContinuous" vertical="center"/>
    </xf>
    <xf numFmtId="0" fontId="4" fillId="2" borderId="8" xfId="1" applyFont="1" applyFill="1" applyBorder="1" applyAlignment="1">
      <alignment horizontal="center" vertical="center"/>
    </xf>
    <xf numFmtId="0" fontId="4" fillId="2" borderId="2" xfId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horizontal="center" vertical="center"/>
    </xf>
    <xf numFmtId="38" fontId="4" fillId="0" borderId="11" xfId="2" applyFont="1" applyBorder="1" applyAlignment="1">
      <alignment vertical="center"/>
    </xf>
    <xf numFmtId="0" fontId="4" fillId="2" borderId="14" xfId="1" applyFont="1" applyFill="1" applyBorder="1" applyAlignment="1">
      <alignment horizontal="center" vertical="center"/>
    </xf>
    <xf numFmtId="38" fontId="4" fillId="2" borderId="14" xfId="2" applyFont="1" applyFill="1" applyBorder="1" applyAlignment="1">
      <alignment vertical="center"/>
    </xf>
    <xf numFmtId="38" fontId="4" fillId="2" borderId="16" xfId="2" applyFont="1" applyFill="1" applyBorder="1" applyAlignment="1">
      <alignment vertical="center"/>
    </xf>
    <xf numFmtId="38" fontId="4" fillId="2" borderId="14" xfId="2" applyFont="1" applyFill="1" applyBorder="1" applyAlignment="1">
      <alignment vertical="center"/>
    </xf>
    <xf numFmtId="0" fontId="4" fillId="2" borderId="5" xfId="1" applyFont="1" applyFill="1" applyBorder="1" applyAlignment="1">
      <alignment horizontal="center" vertical="center"/>
    </xf>
    <xf numFmtId="38" fontId="4" fillId="2" borderId="5" xfId="2" applyFont="1" applyFill="1" applyBorder="1" applyAlignment="1">
      <alignment vertical="center"/>
    </xf>
    <xf numFmtId="0" fontId="4" fillId="2" borderId="18" xfId="1" applyFont="1" applyFill="1" applyBorder="1" applyAlignment="1">
      <alignment horizontal="center" vertical="center"/>
    </xf>
    <xf numFmtId="38" fontId="4" fillId="2" borderId="18" xfId="2" applyFont="1" applyFill="1" applyBorder="1" applyAlignment="1">
      <alignment vertical="center"/>
    </xf>
    <xf numFmtId="38" fontId="4" fillId="2" borderId="19" xfId="2" applyFont="1" applyFill="1" applyBorder="1" applyAlignment="1">
      <alignment vertical="center"/>
    </xf>
    <xf numFmtId="0" fontId="4" fillId="2" borderId="9" xfId="1" applyFont="1" applyFill="1" applyBorder="1" applyAlignment="1">
      <alignment horizontal="center" vertical="center"/>
    </xf>
    <xf numFmtId="38" fontId="4" fillId="2" borderId="9" xfId="2" applyFont="1" applyFill="1" applyBorder="1" applyAlignment="1">
      <alignment vertical="center"/>
    </xf>
    <xf numFmtId="38" fontId="4" fillId="2" borderId="17" xfId="2" applyFont="1" applyFill="1" applyBorder="1" applyAlignment="1">
      <alignment vertical="center"/>
    </xf>
    <xf numFmtId="0" fontId="4" fillId="0" borderId="20" xfId="1" applyFont="1" applyBorder="1" applyAlignment="1">
      <alignment horizontal="center" vertical="center"/>
    </xf>
    <xf numFmtId="0" fontId="4" fillId="0" borderId="21" xfId="1" applyFont="1" applyBorder="1" applyAlignment="1">
      <alignment horizontal="center" vertical="center"/>
    </xf>
    <xf numFmtId="3" fontId="4" fillId="0" borderId="22" xfId="1" applyNumberFormat="1" applyFont="1" applyBorder="1" applyAlignment="1">
      <alignment horizontal="center" vertical="center"/>
    </xf>
    <xf numFmtId="3" fontId="4" fillId="0" borderId="23" xfId="1" applyNumberFormat="1" applyFont="1" applyBorder="1" applyAlignment="1">
      <alignment horizontal="center" vertical="center"/>
    </xf>
    <xf numFmtId="3" fontId="4" fillId="0" borderId="24" xfId="1" applyNumberFormat="1" applyFont="1" applyBorder="1" applyAlignment="1">
      <alignment horizontal="center" vertical="center"/>
    </xf>
    <xf numFmtId="3" fontId="4" fillId="0" borderId="25" xfId="1" applyNumberFormat="1" applyFont="1" applyBorder="1" applyAlignment="1">
      <alignment horizontal="center" vertical="center"/>
    </xf>
  </cellXfs>
  <cellStyles count="3">
    <cellStyle name="桁区切り" xfId="2" builtinId="6"/>
    <cellStyle name="標準" xfId="0" builtinId="0"/>
    <cellStyle name="標準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48"/>
  <sheetViews>
    <sheetView showGridLines="0" tabSelected="1" zoomScaleNormal="100" workbookViewId="0">
      <selection activeCell="M11" sqref="M11"/>
    </sheetView>
  </sheetViews>
  <sheetFormatPr defaultRowHeight="10.5"/>
  <cols>
    <col min="1" max="1" width="11.125" style="1" customWidth="1"/>
    <col min="2" max="17" width="7.625" style="1" customWidth="1"/>
    <col min="18" max="18" width="10.625" style="1" customWidth="1"/>
    <col min="19" max="16384" width="9" style="1"/>
  </cols>
  <sheetData>
    <row r="1" spans="1:18">
      <c r="A1" s="1" t="s">
        <v>137</v>
      </c>
      <c r="D1" s="3"/>
      <c r="E1" s="3"/>
      <c r="F1" s="3"/>
      <c r="H1" s="3"/>
      <c r="I1" s="3"/>
      <c r="J1" s="3"/>
      <c r="K1" s="3"/>
      <c r="O1" s="30" t="s">
        <v>140</v>
      </c>
      <c r="P1" s="101" t="s">
        <v>34</v>
      </c>
      <c r="Q1" s="102" t="s">
        <v>33</v>
      </c>
    </row>
    <row r="2" spans="1:18">
      <c r="E2" s="6"/>
      <c r="F2" s="3"/>
      <c r="H2" s="3"/>
      <c r="I2" s="3"/>
      <c r="J2" s="3"/>
      <c r="K2" s="3"/>
      <c r="L2" s="3"/>
      <c r="O2" s="22" t="s">
        <v>84</v>
      </c>
      <c r="P2" s="103">
        <v>22000</v>
      </c>
      <c r="Q2" s="104">
        <v>25000</v>
      </c>
    </row>
    <row r="3" spans="1:18">
      <c r="A3" s="5"/>
      <c r="B3" s="5"/>
      <c r="C3" s="4"/>
      <c r="D3" s="20"/>
      <c r="E3" s="20"/>
      <c r="F3" s="4"/>
      <c r="G3" s="5"/>
      <c r="H3" s="4"/>
      <c r="I3" s="4"/>
      <c r="J3" s="4"/>
      <c r="K3" s="4"/>
      <c r="L3" s="5"/>
      <c r="O3" s="23" t="s">
        <v>85</v>
      </c>
      <c r="P3" s="105">
        <v>23000</v>
      </c>
      <c r="Q3" s="106">
        <v>27000</v>
      </c>
    </row>
    <row r="4" spans="1:18">
      <c r="A4" s="24" t="s">
        <v>32</v>
      </c>
      <c r="B4" s="77" t="s">
        <v>102</v>
      </c>
      <c r="C4" s="78"/>
      <c r="D4" s="78"/>
      <c r="E4" s="78"/>
      <c r="F4" s="79"/>
      <c r="G4" s="24" t="s">
        <v>121</v>
      </c>
      <c r="H4" s="27"/>
      <c r="I4" s="28"/>
      <c r="J4" s="77" t="s">
        <v>83</v>
      </c>
      <c r="K4" s="78"/>
      <c r="L4" s="78"/>
      <c r="M4" s="79"/>
      <c r="N4" s="77" t="s">
        <v>95</v>
      </c>
      <c r="O4" s="78"/>
      <c r="P4" s="78"/>
      <c r="Q4" s="79"/>
      <c r="R4" s="26"/>
    </row>
    <row r="5" spans="1:18">
      <c r="A5" s="29" t="s">
        <v>31</v>
      </c>
      <c r="B5" s="24" t="s">
        <v>30</v>
      </c>
      <c r="C5" s="24" t="s">
        <v>29</v>
      </c>
      <c r="D5" s="24" t="s">
        <v>90</v>
      </c>
      <c r="E5" s="24" t="s">
        <v>28</v>
      </c>
      <c r="F5" s="24" t="s">
        <v>91</v>
      </c>
      <c r="G5" s="29" t="s">
        <v>122</v>
      </c>
      <c r="H5" s="24" t="s">
        <v>96</v>
      </c>
      <c r="I5" s="83" t="s">
        <v>87</v>
      </c>
      <c r="J5" s="24" t="s">
        <v>27</v>
      </c>
      <c r="K5" s="83" t="s">
        <v>81</v>
      </c>
      <c r="L5" s="83" t="s">
        <v>24</v>
      </c>
      <c r="M5" s="83" t="s">
        <v>26</v>
      </c>
      <c r="N5" s="24" t="s">
        <v>82</v>
      </c>
      <c r="O5" s="83" t="s">
        <v>25</v>
      </c>
      <c r="P5" s="83" t="s">
        <v>24</v>
      </c>
      <c r="Q5" s="83" t="s">
        <v>86</v>
      </c>
      <c r="R5" s="29" t="s">
        <v>136</v>
      </c>
    </row>
    <row r="6" spans="1:18">
      <c r="A6" s="32"/>
      <c r="B6" s="32" t="s">
        <v>94</v>
      </c>
      <c r="C6" s="32" t="s">
        <v>22</v>
      </c>
      <c r="D6" s="32" t="s">
        <v>93</v>
      </c>
      <c r="E6" s="32" t="s">
        <v>21</v>
      </c>
      <c r="F6" s="32" t="s">
        <v>89</v>
      </c>
      <c r="G6" s="32"/>
      <c r="H6" s="32" t="s">
        <v>20</v>
      </c>
      <c r="I6" s="36" t="s">
        <v>89</v>
      </c>
      <c r="J6" s="32" t="s">
        <v>109</v>
      </c>
      <c r="K6" s="33" t="s">
        <v>110</v>
      </c>
      <c r="L6" s="33" t="s">
        <v>100</v>
      </c>
      <c r="M6" s="33" t="s">
        <v>138</v>
      </c>
      <c r="N6" s="32" t="s">
        <v>19</v>
      </c>
      <c r="O6" s="33" t="s">
        <v>18</v>
      </c>
      <c r="P6" s="33" t="s">
        <v>111</v>
      </c>
      <c r="Q6" s="33" t="s">
        <v>138</v>
      </c>
      <c r="R6" s="29"/>
    </row>
    <row r="7" spans="1:18">
      <c r="A7" s="21" t="s">
        <v>16</v>
      </c>
      <c r="B7" s="68">
        <v>12243</v>
      </c>
      <c r="C7" s="68"/>
      <c r="D7" s="68">
        <v>73744</v>
      </c>
      <c r="E7" s="68">
        <v>371974.90300655365</v>
      </c>
      <c r="F7" s="68">
        <v>44851</v>
      </c>
      <c r="G7" s="22" t="s">
        <v>1</v>
      </c>
      <c r="H7" s="63">
        <v>35</v>
      </c>
      <c r="I7" s="63">
        <v>15697.85</v>
      </c>
      <c r="J7" s="63">
        <v>396</v>
      </c>
      <c r="K7" s="63">
        <v>198</v>
      </c>
      <c r="L7" s="63">
        <v>59</v>
      </c>
      <c r="M7" s="63">
        <v>653</v>
      </c>
      <c r="N7" s="63">
        <f>J7*$P$2/1000</f>
        <v>8712</v>
      </c>
      <c r="O7" s="63">
        <f>K7*$Q$2/1000</f>
        <v>4950</v>
      </c>
      <c r="P7" s="63">
        <f>L7*$P$2/1000</f>
        <v>1298</v>
      </c>
      <c r="Q7" s="63">
        <f t="shared" ref="Q7:Q45" si="0">SUM(N7:P7)</f>
        <v>14960</v>
      </c>
      <c r="R7" s="41">
        <f>M9</f>
        <v>3605</v>
      </c>
    </row>
    <row r="8" spans="1:18">
      <c r="A8" s="16">
        <v>40</v>
      </c>
      <c r="B8" s="69"/>
      <c r="C8" s="69"/>
      <c r="D8" s="69"/>
      <c r="E8" s="69"/>
      <c r="F8" s="69"/>
      <c r="G8" s="64" t="s">
        <v>0</v>
      </c>
      <c r="H8" s="65">
        <v>65</v>
      </c>
      <c r="I8" s="65">
        <v>29153.15</v>
      </c>
      <c r="J8" s="65">
        <v>2214</v>
      </c>
      <c r="K8" s="65">
        <v>738</v>
      </c>
      <c r="L8" s="65"/>
      <c r="M8" s="65">
        <v>2952</v>
      </c>
      <c r="N8" s="65">
        <f>J8*$P$3/1000</f>
        <v>50922</v>
      </c>
      <c r="O8" s="65">
        <f>K8*$Q$3/1000</f>
        <v>19926</v>
      </c>
      <c r="P8" s="65">
        <f>L8*$P$3/1000</f>
        <v>0</v>
      </c>
      <c r="Q8" s="65">
        <f t="shared" si="0"/>
        <v>70848</v>
      </c>
      <c r="R8" s="67"/>
    </row>
    <row r="9" spans="1:18">
      <c r="A9" s="17"/>
      <c r="B9" s="70"/>
      <c r="C9" s="70"/>
      <c r="D9" s="70"/>
      <c r="E9" s="70"/>
      <c r="F9" s="70"/>
      <c r="G9" s="23" t="s">
        <v>3</v>
      </c>
      <c r="H9" s="66">
        <f t="shared" ref="H9:P9" si="1">SUM(H7:H8)</f>
        <v>100</v>
      </c>
      <c r="I9" s="66">
        <f>SUM(I7:I8)</f>
        <v>44851</v>
      </c>
      <c r="J9" s="66">
        <f t="shared" si="1"/>
        <v>2610</v>
      </c>
      <c r="K9" s="66">
        <f t="shared" si="1"/>
        <v>936</v>
      </c>
      <c r="L9" s="66">
        <f t="shared" si="1"/>
        <v>59</v>
      </c>
      <c r="M9" s="66">
        <f t="shared" si="1"/>
        <v>3605</v>
      </c>
      <c r="N9" s="66">
        <f t="shared" si="1"/>
        <v>59634</v>
      </c>
      <c r="O9" s="66">
        <f t="shared" si="1"/>
        <v>24876</v>
      </c>
      <c r="P9" s="66">
        <f t="shared" si="1"/>
        <v>1298</v>
      </c>
      <c r="Q9" s="66">
        <f t="shared" si="0"/>
        <v>85808</v>
      </c>
      <c r="R9" s="66">
        <f>Q9*1000</f>
        <v>85808000</v>
      </c>
    </row>
    <row r="10" spans="1:18">
      <c r="A10" s="21" t="s">
        <v>15</v>
      </c>
      <c r="B10" s="68">
        <v>1626</v>
      </c>
      <c r="C10" s="68"/>
      <c r="D10" s="68">
        <v>1901</v>
      </c>
      <c r="E10" s="68">
        <v>5468.6899217367172</v>
      </c>
      <c r="F10" s="68">
        <v>2295</v>
      </c>
      <c r="G10" s="22" t="s">
        <v>1</v>
      </c>
      <c r="H10" s="63">
        <v>55</v>
      </c>
      <c r="I10" s="63">
        <v>1262.25</v>
      </c>
      <c r="J10" s="63">
        <v>36</v>
      </c>
      <c r="K10" s="63">
        <v>18</v>
      </c>
      <c r="L10" s="63">
        <v>5</v>
      </c>
      <c r="M10" s="63">
        <v>59</v>
      </c>
      <c r="N10" s="63">
        <f>J10*$P$2/1000</f>
        <v>792</v>
      </c>
      <c r="O10" s="63">
        <f>K10*$Q$2/1000</f>
        <v>450</v>
      </c>
      <c r="P10" s="63">
        <f>L10*$P$2/1000</f>
        <v>110</v>
      </c>
      <c r="Q10" s="63">
        <f t="shared" si="0"/>
        <v>1352</v>
      </c>
      <c r="R10" s="41">
        <f>M12</f>
        <v>175</v>
      </c>
    </row>
    <row r="11" spans="1:18">
      <c r="A11" s="16">
        <v>80</v>
      </c>
      <c r="B11" s="69"/>
      <c r="C11" s="69"/>
      <c r="D11" s="69"/>
      <c r="E11" s="69"/>
      <c r="F11" s="69"/>
      <c r="G11" s="64" t="s">
        <v>0</v>
      </c>
      <c r="H11" s="65">
        <v>45</v>
      </c>
      <c r="I11" s="65">
        <v>1032.75</v>
      </c>
      <c r="J11" s="65">
        <v>87</v>
      </c>
      <c r="K11" s="65">
        <v>29</v>
      </c>
      <c r="L11" s="65"/>
      <c r="M11" s="65">
        <v>116</v>
      </c>
      <c r="N11" s="65">
        <f>J11*$P$3/1000</f>
        <v>2001</v>
      </c>
      <c r="O11" s="65">
        <f>K11*$Q$3/1000</f>
        <v>783</v>
      </c>
      <c r="P11" s="65">
        <f>L11*$P$3/1000</f>
        <v>0</v>
      </c>
      <c r="Q11" s="65">
        <f t="shared" si="0"/>
        <v>2784</v>
      </c>
      <c r="R11" s="67"/>
    </row>
    <row r="12" spans="1:18">
      <c r="A12" s="17"/>
      <c r="B12" s="70"/>
      <c r="C12" s="70"/>
      <c r="D12" s="70"/>
      <c r="E12" s="70"/>
      <c r="F12" s="70"/>
      <c r="G12" s="23" t="s">
        <v>3</v>
      </c>
      <c r="H12" s="66">
        <f t="shared" ref="H12:P12" si="2">SUM(H10:H11)</f>
        <v>100</v>
      </c>
      <c r="I12" s="66">
        <f t="shared" si="2"/>
        <v>2295</v>
      </c>
      <c r="J12" s="66">
        <f t="shared" si="2"/>
        <v>123</v>
      </c>
      <c r="K12" s="66">
        <f t="shared" si="2"/>
        <v>47</v>
      </c>
      <c r="L12" s="66">
        <f t="shared" si="2"/>
        <v>5</v>
      </c>
      <c r="M12" s="66">
        <f t="shared" si="2"/>
        <v>175</v>
      </c>
      <c r="N12" s="66">
        <f t="shared" si="2"/>
        <v>2793</v>
      </c>
      <c r="O12" s="66">
        <f t="shared" si="2"/>
        <v>1233</v>
      </c>
      <c r="P12" s="66">
        <f t="shared" si="2"/>
        <v>110</v>
      </c>
      <c r="Q12" s="66">
        <f t="shared" si="0"/>
        <v>4136</v>
      </c>
      <c r="R12" s="66">
        <f>Q12*1000</f>
        <v>4136000</v>
      </c>
    </row>
    <row r="13" spans="1:18">
      <c r="A13" s="21" t="s">
        <v>14</v>
      </c>
      <c r="B13" s="68">
        <v>450</v>
      </c>
      <c r="C13" s="68"/>
      <c r="D13" s="68">
        <v>572.5</v>
      </c>
      <c r="E13" s="68">
        <v>1205.2999830245972</v>
      </c>
      <c r="F13" s="68">
        <v>718</v>
      </c>
      <c r="G13" s="22" t="s">
        <v>1</v>
      </c>
      <c r="H13" s="63">
        <v>20</v>
      </c>
      <c r="I13" s="63">
        <v>143.6</v>
      </c>
      <c r="J13" s="63">
        <v>4</v>
      </c>
      <c r="K13" s="63">
        <v>2</v>
      </c>
      <c r="L13" s="63">
        <v>0</v>
      </c>
      <c r="M13" s="63">
        <v>6</v>
      </c>
      <c r="N13" s="63">
        <f>J13*$P$2/1000</f>
        <v>88</v>
      </c>
      <c r="O13" s="63">
        <f>K13*$Q$2/1000</f>
        <v>50</v>
      </c>
      <c r="P13" s="63">
        <f>L13*$P$2/1000</f>
        <v>0</v>
      </c>
      <c r="Q13" s="63">
        <f t="shared" si="0"/>
        <v>138</v>
      </c>
      <c r="R13" s="41">
        <f>M15</f>
        <v>78</v>
      </c>
    </row>
    <row r="14" spans="1:18">
      <c r="A14" s="16" t="s">
        <v>10</v>
      </c>
      <c r="B14" s="69"/>
      <c r="C14" s="69"/>
      <c r="D14" s="69"/>
      <c r="E14" s="69"/>
      <c r="F14" s="69"/>
      <c r="G14" s="64" t="s">
        <v>0</v>
      </c>
      <c r="H14" s="65">
        <v>80</v>
      </c>
      <c r="I14" s="65">
        <v>574.4</v>
      </c>
      <c r="J14" s="65">
        <v>54</v>
      </c>
      <c r="K14" s="65">
        <v>18</v>
      </c>
      <c r="L14" s="65"/>
      <c r="M14" s="65">
        <v>72</v>
      </c>
      <c r="N14" s="65">
        <f>J14*$P$3/1000</f>
        <v>1242</v>
      </c>
      <c r="O14" s="65">
        <f>K14*$Q$3/1000</f>
        <v>486</v>
      </c>
      <c r="P14" s="65">
        <f>L14*$P$3/1000</f>
        <v>0</v>
      </c>
      <c r="Q14" s="65">
        <f t="shared" si="0"/>
        <v>1728</v>
      </c>
      <c r="R14" s="67"/>
    </row>
    <row r="15" spans="1:18">
      <c r="A15" s="17"/>
      <c r="B15" s="70"/>
      <c r="C15" s="70"/>
      <c r="D15" s="70"/>
      <c r="E15" s="70"/>
      <c r="F15" s="70"/>
      <c r="G15" s="23" t="s">
        <v>3</v>
      </c>
      <c r="H15" s="66">
        <f t="shared" ref="H15:P15" si="3">SUM(H13:H14)</f>
        <v>100</v>
      </c>
      <c r="I15" s="66">
        <f t="shared" si="3"/>
        <v>718</v>
      </c>
      <c r="J15" s="66">
        <f t="shared" si="3"/>
        <v>58</v>
      </c>
      <c r="K15" s="66">
        <f t="shared" si="3"/>
        <v>20</v>
      </c>
      <c r="L15" s="66">
        <f t="shared" si="3"/>
        <v>0</v>
      </c>
      <c r="M15" s="66">
        <f t="shared" si="3"/>
        <v>78</v>
      </c>
      <c r="N15" s="66">
        <f t="shared" si="3"/>
        <v>1330</v>
      </c>
      <c r="O15" s="66">
        <f t="shared" si="3"/>
        <v>536</v>
      </c>
      <c r="P15" s="66">
        <f t="shared" si="3"/>
        <v>0</v>
      </c>
      <c r="Q15" s="66">
        <f t="shared" si="0"/>
        <v>1866</v>
      </c>
      <c r="R15" s="66">
        <f>Q15*1000</f>
        <v>1866000</v>
      </c>
    </row>
    <row r="16" spans="1:18">
      <c r="A16" s="21" t="s">
        <v>14</v>
      </c>
      <c r="B16" s="68">
        <v>570</v>
      </c>
      <c r="C16" s="68"/>
      <c r="D16" s="68">
        <v>1025</v>
      </c>
      <c r="E16" s="68">
        <v>3167.2999966144562</v>
      </c>
      <c r="F16" s="68">
        <v>1472</v>
      </c>
      <c r="G16" s="22" t="s">
        <v>1</v>
      </c>
      <c r="H16" s="63">
        <v>0</v>
      </c>
      <c r="I16" s="63">
        <v>0</v>
      </c>
      <c r="J16" s="63">
        <v>0</v>
      </c>
      <c r="K16" s="63">
        <v>0</v>
      </c>
      <c r="L16" s="63">
        <v>0</v>
      </c>
      <c r="M16" s="63">
        <v>0</v>
      </c>
      <c r="N16" s="63">
        <f>J16*$P$2/1000</f>
        <v>0</v>
      </c>
      <c r="O16" s="63">
        <f>K16*$Q$2/1000</f>
        <v>0</v>
      </c>
      <c r="P16" s="63">
        <f>L16*$P$2/1000</f>
        <v>0</v>
      </c>
      <c r="Q16" s="63">
        <f t="shared" si="0"/>
        <v>0</v>
      </c>
      <c r="R16" s="41">
        <f>M18</f>
        <v>196</v>
      </c>
    </row>
    <row r="17" spans="1:18">
      <c r="A17" s="16">
        <v>40</v>
      </c>
      <c r="B17" s="69"/>
      <c r="C17" s="69"/>
      <c r="D17" s="69"/>
      <c r="E17" s="69"/>
      <c r="F17" s="69"/>
      <c r="G17" s="64" t="s">
        <v>0</v>
      </c>
      <c r="H17" s="65">
        <v>100</v>
      </c>
      <c r="I17" s="65">
        <v>1472</v>
      </c>
      <c r="J17" s="65">
        <v>147</v>
      </c>
      <c r="K17" s="65">
        <v>49</v>
      </c>
      <c r="L17" s="65"/>
      <c r="M17" s="65">
        <v>196</v>
      </c>
      <c r="N17" s="65">
        <f>J17*$P$3/1000</f>
        <v>3381</v>
      </c>
      <c r="O17" s="65">
        <f>K17*$Q$3/1000</f>
        <v>1323</v>
      </c>
      <c r="P17" s="65">
        <f>L17*$P$3/1000</f>
        <v>0</v>
      </c>
      <c r="Q17" s="65">
        <f t="shared" si="0"/>
        <v>4704</v>
      </c>
      <c r="R17" s="67"/>
    </row>
    <row r="18" spans="1:18">
      <c r="A18" s="17"/>
      <c r="B18" s="70"/>
      <c r="C18" s="70"/>
      <c r="D18" s="70"/>
      <c r="E18" s="70"/>
      <c r="F18" s="70"/>
      <c r="G18" s="23" t="s">
        <v>3</v>
      </c>
      <c r="H18" s="66">
        <f t="shared" ref="H18:P18" si="4">SUM(H16:H17)</f>
        <v>100</v>
      </c>
      <c r="I18" s="66">
        <f t="shared" si="4"/>
        <v>1472</v>
      </c>
      <c r="J18" s="66">
        <f t="shared" si="4"/>
        <v>147</v>
      </c>
      <c r="K18" s="66">
        <f t="shared" si="4"/>
        <v>49</v>
      </c>
      <c r="L18" s="66">
        <f t="shared" si="4"/>
        <v>0</v>
      </c>
      <c r="M18" s="66">
        <f t="shared" si="4"/>
        <v>196</v>
      </c>
      <c r="N18" s="66">
        <f t="shared" si="4"/>
        <v>3381</v>
      </c>
      <c r="O18" s="66">
        <f t="shared" si="4"/>
        <v>1323</v>
      </c>
      <c r="P18" s="66">
        <f t="shared" si="4"/>
        <v>0</v>
      </c>
      <c r="Q18" s="66">
        <f t="shared" si="0"/>
        <v>4704</v>
      </c>
      <c r="R18" s="66">
        <f>Q18*1000</f>
        <v>4704000</v>
      </c>
    </row>
    <row r="19" spans="1:18">
      <c r="A19" s="21" t="s">
        <v>13</v>
      </c>
      <c r="B19" s="68">
        <v>400</v>
      </c>
      <c r="C19" s="68"/>
      <c r="D19" s="68">
        <v>500</v>
      </c>
      <c r="E19" s="68">
        <v>1559.4999849796295</v>
      </c>
      <c r="F19" s="68">
        <v>670</v>
      </c>
      <c r="G19" s="22" t="s">
        <v>1</v>
      </c>
      <c r="H19" s="63">
        <v>0</v>
      </c>
      <c r="I19" s="63">
        <v>0</v>
      </c>
      <c r="J19" s="63">
        <v>0</v>
      </c>
      <c r="K19" s="63">
        <v>0</v>
      </c>
      <c r="L19" s="63">
        <v>0</v>
      </c>
      <c r="M19" s="63">
        <v>0</v>
      </c>
      <c r="N19" s="63">
        <f>J19*$P$2/1000</f>
        <v>0</v>
      </c>
      <c r="O19" s="63">
        <f>K19*$Q$2/1000</f>
        <v>0</v>
      </c>
      <c r="P19" s="63">
        <f>L19*$P$2/1000</f>
        <v>0</v>
      </c>
      <c r="Q19" s="63">
        <f t="shared" si="0"/>
        <v>0</v>
      </c>
      <c r="R19" s="41">
        <f>M21</f>
        <v>96</v>
      </c>
    </row>
    <row r="20" spans="1:18">
      <c r="A20" s="16">
        <v>80</v>
      </c>
      <c r="B20" s="69"/>
      <c r="C20" s="69"/>
      <c r="D20" s="69"/>
      <c r="E20" s="69"/>
      <c r="F20" s="69"/>
      <c r="G20" s="64" t="s">
        <v>0</v>
      </c>
      <c r="H20" s="65">
        <v>100</v>
      </c>
      <c r="I20" s="65">
        <v>670</v>
      </c>
      <c r="J20" s="65">
        <v>72</v>
      </c>
      <c r="K20" s="65">
        <v>24</v>
      </c>
      <c r="L20" s="65"/>
      <c r="M20" s="65">
        <v>96</v>
      </c>
      <c r="N20" s="65">
        <f>J20*$P$3/1000</f>
        <v>1656</v>
      </c>
      <c r="O20" s="65">
        <f>K20*$Q$3/1000</f>
        <v>648</v>
      </c>
      <c r="P20" s="65">
        <f>L20*$P$3/1000</f>
        <v>0</v>
      </c>
      <c r="Q20" s="65">
        <f t="shared" si="0"/>
        <v>2304</v>
      </c>
      <c r="R20" s="67"/>
    </row>
    <row r="21" spans="1:18">
      <c r="A21" s="17"/>
      <c r="B21" s="70"/>
      <c r="C21" s="70"/>
      <c r="D21" s="70"/>
      <c r="E21" s="70"/>
      <c r="F21" s="70"/>
      <c r="G21" s="23" t="s">
        <v>3</v>
      </c>
      <c r="H21" s="66">
        <f t="shared" ref="H21:P21" si="5">SUM(H19:H20)</f>
        <v>100</v>
      </c>
      <c r="I21" s="66">
        <f t="shared" si="5"/>
        <v>670</v>
      </c>
      <c r="J21" s="66">
        <f t="shared" si="5"/>
        <v>72</v>
      </c>
      <c r="K21" s="66">
        <f t="shared" si="5"/>
        <v>24</v>
      </c>
      <c r="L21" s="66">
        <f t="shared" si="5"/>
        <v>0</v>
      </c>
      <c r="M21" s="66">
        <f t="shared" si="5"/>
        <v>96</v>
      </c>
      <c r="N21" s="66">
        <f t="shared" si="5"/>
        <v>1656</v>
      </c>
      <c r="O21" s="66">
        <f t="shared" si="5"/>
        <v>648</v>
      </c>
      <c r="P21" s="66">
        <f t="shared" si="5"/>
        <v>0</v>
      </c>
      <c r="Q21" s="66">
        <f t="shared" si="0"/>
        <v>2304</v>
      </c>
      <c r="R21" s="66">
        <f>Q21*1000</f>
        <v>2304000</v>
      </c>
    </row>
    <row r="22" spans="1:18">
      <c r="A22" s="21" t="s">
        <v>13</v>
      </c>
      <c r="B22" s="68">
        <v>350</v>
      </c>
      <c r="C22" s="68"/>
      <c r="D22" s="68">
        <v>375</v>
      </c>
      <c r="E22" s="68">
        <v>1544.0000295639038</v>
      </c>
      <c r="F22" s="68">
        <v>380</v>
      </c>
      <c r="G22" s="22" t="s">
        <v>1</v>
      </c>
      <c r="H22" s="63">
        <v>45</v>
      </c>
      <c r="I22" s="63">
        <v>171</v>
      </c>
      <c r="J22" s="63">
        <v>8</v>
      </c>
      <c r="K22" s="63">
        <v>4</v>
      </c>
      <c r="L22" s="63">
        <v>1</v>
      </c>
      <c r="M22" s="63">
        <v>13</v>
      </c>
      <c r="N22" s="63">
        <f>J22*$P$2/1000</f>
        <v>176</v>
      </c>
      <c r="O22" s="63">
        <f>K22*$Q$2/1000</f>
        <v>100</v>
      </c>
      <c r="P22" s="63">
        <f>L22*$P$2/1000</f>
        <v>22</v>
      </c>
      <c r="Q22" s="63">
        <f t="shared" si="0"/>
        <v>298</v>
      </c>
      <c r="R22" s="41">
        <f>M24</f>
        <v>49</v>
      </c>
    </row>
    <row r="23" spans="1:18">
      <c r="A23" s="16">
        <v>160</v>
      </c>
      <c r="B23" s="69"/>
      <c r="C23" s="69"/>
      <c r="D23" s="69"/>
      <c r="E23" s="69"/>
      <c r="F23" s="69"/>
      <c r="G23" s="64" t="s">
        <v>0</v>
      </c>
      <c r="H23" s="65">
        <v>55</v>
      </c>
      <c r="I23" s="65">
        <v>209</v>
      </c>
      <c r="J23" s="65">
        <v>27</v>
      </c>
      <c r="K23" s="65">
        <v>9</v>
      </c>
      <c r="L23" s="65"/>
      <c r="M23" s="65">
        <v>36</v>
      </c>
      <c r="N23" s="65">
        <f>J23*$P$3/1000</f>
        <v>621</v>
      </c>
      <c r="O23" s="65">
        <f>K23*$Q$3/1000</f>
        <v>243</v>
      </c>
      <c r="P23" s="65">
        <f>L23*$P$3/1000</f>
        <v>0</v>
      </c>
      <c r="Q23" s="65">
        <f t="shared" si="0"/>
        <v>864</v>
      </c>
      <c r="R23" s="67"/>
    </row>
    <row r="24" spans="1:18">
      <c r="A24" s="17"/>
      <c r="B24" s="70"/>
      <c r="C24" s="70"/>
      <c r="D24" s="70"/>
      <c r="E24" s="70"/>
      <c r="F24" s="70"/>
      <c r="G24" s="23" t="s">
        <v>3</v>
      </c>
      <c r="H24" s="66">
        <f t="shared" ref="H24:P24" si="6">SUM(H22:H23)</f>
        <v>100</v>
      </c>
      <c r="I24" s="66">
        <f t="shared" si="6"/>
        <v>380</v>
      </c>
      <c r="J24" s="66">
        <f t="shared" si="6"/>
        <v>35</v>
      </c>
      <c r="K24" s="66">
        <f t="shared" si="6"/>
        <v>13</v>
      </c>
      <c r="L24" s="66">
        <f t="shared" si="6"/>
        <v>1</v>
      </c>
      <c r="M24" s="66">
        <f t="shared" si="6"/>
        <v>49</v>
      </c>
      <c r="N24" s="66">
        <f t="shared" si="6"/>
        <v>797</v>
      </c>
      <c r="O24" s="66">
        <f t="shared" si="6"/>
        <v>343</v>
      </c>
      <c r="P24" s="66">
        <f t="shared" si="6"/>
        <v>22</v>
      </c>
      <c r="Q24" s="66">
        <f t="shared" si="0"/>
        <v>1162</v>
      </c>
      <c r="R24" s="66">
        <f>Q24*1000</f>
        <v>1162000</v>
      </c>
    </row>
    <row r="25" spans="1:18">
      <c r="A25" s="21" t="s">
        <v>12</v>
      </c>
      <c r="B25" s="68">
        <v>360</v>
      </c>
      <c r="C25" s="68"/>
      <c r="D25" s="68">
        <v>585</v>
      </c>
      <c r="E25" s="68">
        <v>1149.5000112056732</v>
      </c>
      <c r="F25" s="68">
        <v>721</v>
      </c>
      <c r="G25" s="22" t="s">
        <v>1</v>
      </c>
      <c r="H25" s="63">
        <v>30</v>
      </c>
      <c r="I25" s="63">
        <v>216.3</v>
      </c>
      <c r="J25" s="63">
        <v>6</v>
      </c>
      <c r="K25" s="63">
        <v>3</v>
      </c>
      <c r="L25" s="63">
        <v>1</v>
      </c>
      <c r="M25" s="63">
        <v>10</v>
      </c>
      <c r="N25" s="63">
        <f>J25*$P$2/1000</f>
        <v>132</v>
      </c>
      <c r="O25" s="63">
        <f>K25*$Q$2/1000</f>
        <v>75</v>
      </c>
      <c r="P25" s="63">
        <f>L25*$P$2/1000</f>
        <v>22</v>
      </c>
      <c r="Q25" s="63">
        <f t="shared" si="0"/>
        <v>229</v>
      </c>
      <c r="R25" s="41">
        <f>M27</f>
        <v>70</v>
      </c>
    </row>
    <row r="26" spans="1:18">
      <c r="A26" s="16" t="s">
        <v>8</v>
      </c>
      <c r="B26" s="69"/>
      <c r="C26" s="69"/>
      <c r="D26" s="69"/>
      <c r="E26" s="69"/>
      <c r="F26" s="69"/>
      <c r="G26" s="64" t="s">
        <v>0</v>
      </c>
      <c r="H26" s="65">
        <v>70</v>
      </c>
      <c r="I26" s="65">
        <v>504.7</v>
      </c>
      <c r="J26" s="65">
        <v>45</v>
      </c>
      <c r="K26" s="65">
        <v>15</v>
      </c>
      <c r="L26" s="65"/>
      <c r="M26" s="65">
        <v>60</v>
      </c>
      <c r="N26" s="65">
        <f>J26*$P$3/1000</f>
        <v>1035</v>
      </c>
      <c r="O26" s="65">
        <f>K26*$Q$3/1000</f>
        <v>405</v>
      </c>
      <c r="P26" s="65">
        <f>L26*$P$3/1000</f>
        <v>0</v>
      </c>
      <c r="Q26" s="65">
        <f t="shared" si="0"/>
        <v>1440</v>
      </c>
      <c r="R26" s="67"/>
    </row>
    <row r="27" spans="1:18">
      <c r="A27" s="17"/>
      <c r="B27" s="70"/>
      <c r="C27" s="70"/>
      <c r="D27" s="70"/>
      <c r="E27" s="70"/>
      <c r="F27" s="70"/>
      <c r="G27" s="23" t="s">
        <v>3</v>
      </c>
      <c r="H27" s="66">
        <f t="shared" ref="H27:P27" si="7">SUM(H25:H26)</f>
        <v>100</v>
      </c>
      <c r="I27" s="66">
        <f t="shared" si="7"/>
        <v>721</v>
      </c>
      <c r="J27" s="66">
        <f t="shared" si="7"/>
        <v>51</v>
      </c>
      <c r="K27" s="66">
        <f t="shared" si="7"/>
        <v>18</v>
      </c>
      <c r="L27" s="66">
        <f t="shared" si="7"/>
        <v>1</v>
      </c>
      <c r="M27" s="66">
        <f t="shared" si="7"/>
        <v>70</v>
      </c>
      <c r="N27" s="66">
        <f t="shared" si="7"/>
        <v>1167</v>
      </c>
      <c r="O27" s="66">
        <f t="shared" si="7"/>
        <v>480</v>
      </c>
      <c r="P27" s="66">
        <f t="shared" si="7"/>
        <v>22</v>
      </c>
      <c r="Q27" s="66">
        <f t="shared" si="0"/>
        <v>1669</v>
      </c>
      <c r="R27" s="66">
        <f>Q27*1000</f>
        <v>1669000</v>
      </c>
    </row>
    <row r="28" spans="1:18">
      <c r="A28" s="21" t="s">
        <v>11</v>
      </c>
      <c r="B28" s="68">
        <v>555</v>
      </c>
      <c r="C28" s="68"/>
      <c r="D28" s="68">
        <v>2405</v>
      </c>
      <c r="E28" s="68">
        <v>8459.600043296814</v>
      </c>
      <c r="F28" s="68">
        <v>2635</v>
      </c>
      <c r="G28" s="22" t="s">
        <v>1</v>
      </c>
      <c r="H28" s="63">
        <v>55</v>
      </c>
      <c r="I28" s="63">
        <v>1449.25</v>
      </c>
      <c r="J28" s="63">
        <v>46</v>
      </c>
      <c r="K28" s="63">
        <v>23</v>
      </c>
      <c r="L28" s="63">
        <v>7</v>
      </c>
      <c r="M28" s="63">
        <v>76</v>
      </c>
      <c r="N28" s="63">
        <f>J28*$P$2/1000</f>
        <v>1012</v>
      </c>
      <c r="O28" s="63">
        <f>K28*$Q$2/1000</f>
        <v>575</v>
      </c>
      <c r="P28" s="63">
        <f>L28*$P$2/1000</f>
        <v>154</v>
      </c>
      <c r="Q28" s="63">
        <f t="shared" si="0"/>
        <v>1741</v>
      </c>
      <c r="R28" s="41">
        <f>M30</f>
        <v>224</v>
      </c>
    </row>
    <row r="29" spans="1:18">
      <c r="A29" s="16" t="s">
        <v>10</v>
      </c>
      <c r="B29" s="69"/>
      <c r="C29" s="69"/>
      <c r="D29" s="69"/>
      <c r="E29" s="69"/>
      <c r="F29" s="69"/>
      <c r="G29" s="64" t="s">
        <v>0</v>
      </c>
      <c r="H29" s="65">
        <v>45</v>
      </c>
      <c r="I29" s="65">
        <v>1185.75</v>
      </c>
      <c r="J29" s="65">
        <v>111</v>
      </c>
      <c r="K29" s="65">
        <v>37</v>
      </c>
      <c r="L29" s="65"/>
      <c r="M29" s="65">
        <v>148</v>
      </c>
      <c r="N29" s="65">
        <f>J29*$P$3/1000</f>
        <v>2553</v>
      </c>
      <c r="O29" s="65">
        <f>K29*$Q$3/1000</f>
        <v>999</v>
      </c>
      <c r="P29" s="65">
        <f>L29*$P$3/1000</f>
        <v>0</v>
      </c>
      <c r="Q29" s="65">
        <f t="shared" si="0"/>
        <v>3552</v>
      </c>
      <c r="R29" s="67"/>
    </row>
    <row r="30" spans="1:18">
      <c r="A30" s="17"/>
      <c r="B30" s="70"/>
      <c r="C30" s="70"/>
      <c r="D30" s="70"/>
      <c r="E30" s="70"/>
      <c r="F30" s="70"/>
      <c r="G30" s="23" t="s">
        <v>3</v>
      </c>
      <c r="H30" s="66">
        <f t="shared" ref="H30:P30" si="8">SUM(H28:H29)</f>
        <v>100</v>
      </c>
      <c r="I30" s="66">
        <f t="shared" si="8"/>
        <v>2635</v>
      </c>
      <c r="J30" s="66">
        <f t="shared" si="8"/>
        <v>157</v>
      </c>
      <c r="K30" s="66">
        <f t="shared" si="8"/>
        <v>60</v>
      </c>
      <c r="L30" s="66">
        <f t="shared" si="8"/>
        <v>7</v>
      </c>
      <c r="M30" s="66">
        <f t="shared" si="8"/>
        <v>224</v>
      </c>
      <c r="N30" s="66">
        <f t="shared" si="8"/>
        <v>3565</v>
      </c>
      <c r="O30" s="66">
        <f t="shared" si="8"/>
        <v>1574</v>
      </c>
      <c r="P30" s="66">
        <f t="shared" si="8"/>
        <v>154</v>
      </c>
      <c r="Q30" s="66">
        <f t="shared" si="0"/>
        <v>5293</v>
      </c>
      <c r="R30" s="66">
        <f>Q30*1000</f>
        <v>5293000</v>
      </c>
    </row>
    <row r="31" spans="1:18">
      <c r="A31" s="21" t="s">
        <v>9</v>
      </c>
      <c r="B31" s="68">
        <v>790</v>
      </c>
      <c r="C31" s="68"/>
      <c r="D31" s="68">
        <v>1890</v>
      </c>
      <c r="E31" s="68">
        <v>3950.4500514268875</v>
      </c>
      <c r="F31" s="68">
        <v>914</v>
      </c>
      <c r="G31" s="22" t="s">
        <v>1</v>
      </c>
      <c r="H31" s="63">
        <v>35</v>
      </c>
      <c r="I31" s="63">
        <v>319.89999999999998</v>
      </c>
      <c r="J31" s="63">
        <v>10</v>
      </c>
      <c r="K31" s="63">
        <v>5</v>
      </c>
      <c r="L31" s="63">
        <v>1</v>
      </c>
      <c r="M31" s="63">
        <v>16</v>
      </c>
      <c r="N31" s="63">
        <f>J31*$P$2/1000</f>
        <v>220</v>
      </c>
      <c r="O31" s="63">
        <f>K31*$Q$2/1000</f>
        <v>125</v>
      </c>
      <c r="P31" s="63">
        <f>L31*$P$2/1000</f>
        <v>22</v>
      </c>
      <c r="Q31" s="63">
        <f t="shared" si="0"/>
        <v>367</v>
      </c>
      <c r="R31" s="41">
        <f>M33</f>
        <v>96</v>
      </c>
    </row>
    <row r="32" spans="1:18">
      <c r="A32" s="16" t="s">
        <v>8</v>
      </c>
      <c r="B32" s="69"/>
      <c r="C32" s="69"/>
      <c r="D32" s="69"/>
      <c r="E32" s="69"/>
      <c r="F32" s="69"/>
      <c r="G32" s="64" t="s">
        <v>0</v>
      </c>
      <c r="H32" s="65">
        <v>65</v>
      </c>
      <c r="I32" s="65">
        <v>594.1</v>
      </c>
      <c r="J32" s="65">
        <v>60</v>
      </c>
      <c r="K32" s="65">
        <v>20</v>
      </c>
      <c r="L32" s="65"/>
      <c r="M32" s="65">
        <v>80</v>
      </c>
      <c r="N32" s="65">
        <f>J32*$P$3/1000</f>
        <v>1380</v>
      </c>
      <c r="O32" s="65">
        <f>K32*$Q$3/1000</f>
        <v>540</v>
      </c>
      <c r="P32" s="65">
        <f>L32*$P$3/1000</f>
        <v>0</v>
      </c>
      <c r="Q32" s="65">
        <f t="shared" si="0"/>
        <v>1920</v>
      </c>
      <c r="R32" s="67"/>
    </row>
    <row r="33" spans="1:18">
      <c r="A33" s="17"/>
      <c r="B33" s="70"/>
      <c r="C33" s="70"/>
      <c r="D33" s="70"/>
      <c r="E33" s="70"/>
      <c r="F33" s="70"/>
      <c r="G33" s="23" t="s">
        <v>3</v>
      </c>
      <c r="H33" s="66">
        <f t="shared" ref="H33:P33" si="9">SUM(H31:H32)</f>
        <v>100</v>
      </c>
      <c r="I33" s="66">
        <f t="shared" si="9"/>
        <v>914</v>
      </c>
      <c r="J33" s="66">
        <f t="shared" si="9"/>
        <v>70</v>
      </c>
      <c r="K33" s="66">
        <f t="shared" si="9"/>
        <v>25</v>
      </c>
      <c r="L33" s="66">
        <f t="shared" si="9"/>
        <v>1</v>
      </c>
      <c r="M33" s="66">
        <f t="shared" si="9"/>
        <v>96</v>
      </c>
      <c r="N33" s="66">
        <f t="shared" si="9"/>
        <v>1600</v>
      </c>
      <c r="O33" s="66">
        <f t="shared" si="9"/>
        <v>665</v>
      </c>
      <c r="P33" s="66">
        <f t="shared" si="9"/>
        <v>22</v>
      </c>
      <c r="Q33" s="66">
        <f t="shared" si="0"/>
        <v>2287</v>
      </c>
      <c r="R33" s="66">
        <f>Q33*1000</f>
        <v>2287000</v>
      </c>
    </row>
    <row r="34" spans="1:18">
      <c r="A34" s="21" t="s">
        <v>7</v>
      </c>
      <c r="B34" s="68">
        <v>350</v>
      </c>
      <c r="C34" s="68"/>
      <c r="D34" s="68">
        <v>505</v>
      </c>
      <c r="E34" s="68">
        <v>1731.3999783992767</v>
      </c>
      <c r="F34" s="68">
        <v>649</v>
      </c>
      <c r="G34" s="22" t="s">
        <v>1</v>
      </c>
      <c r="H34" s="63">
        <v>45</v>
      </c>
      <c r="I34" s="63">
        <v>292.05</v>
      </c>
      <c r="J34" s="63">
        <v>12</v>
      </c>
      <c r="K34" s="63">
        <v>6</v>
      </c>
      <c r="L34" s="63">
        <v>1</v>
      </c>
      <c r="M34" s="63">
        <v>19</v>
      </c>
      <c r="N34" s="63">
        <f>J34*$P$2/1000</f>
        <v>264</v>
      </c>
      <c r="O34" s="63">
        <f>K34*$Q$2/1000</f>
        <v>150</v>
      </c>
      <c r="P34" s="63">
        <f>L34*$P$2/1000</f>
        <v>22</v>
      </c>
      <c r="Q34" s="63">
        <f t="shared" si="0"/>
        <v>436</v>
      </c>
      <c r="R34" s="41">
        <f>M36</f>
        <v>79</v>
      </c>
    </row>
    <row r="35" spans="1:18">
      <c r="A35" s="16">
        <v>80</v>
      </c>
      <c r="B35" s="69"/>
      <c r="C35" s="69"/>
      <c r="D35" s="69"/>
      <c r="E35" s="69"/>
      <c r="F35" s="69"/>
      <c r="G35" s="64" t="s">
        <v>0</v>
      </c>
      <c r="H35" s="65">
        <v>55</v>
      </c>
      <c r="I35" s="65">
        <v>356.95</v>
      </c>
      <c r="J35" s="65">
        <v>45</v>
      </c>
      <c r="K35" s="65">
        <v>15</v>
      </c>
      <c r="L35" s="65"/>
      <c r="M35" s="65">
        <v>60</v>
      </c>
      <c r="N35" s="65">
        <f>J35*$P$3/1000</f>
        <v>1035</v>
      </c>
      <c r="O35" s="65">
        <f>K35*$Q$3/1000</f>
        <v>405</v>
      </c>
      <c r="P35" s="65">
        <f>L35*$P$3/1000</f>
        <v>0</v>
      </c>
      <c r="Q35" s="65">
        <f t="shared" si="0"/>
        <v>1440</v>
      </c>
      <c r="R35" s="67"/>
    </row>
    <row r="36" spans="1:18">
      <c r="A36" s="17"/>
      <c r="B36" s="70"/>
      <c r="C36" s="70"/>
      <c r="D36" s="70"/>
      <c r="E36" s="70"/>
      <c r="F36" s="70"/>
      <c r="G36" s="23" t="s">
        <v>3</v>
      </c>
      <c r="H36" s="66">
        <f t="shared" ref="H36:P36" si="10">SUM(H34:H35)</f>
        <v>100</v>
      </c>
      <c r="I36" s="66">
        <f t="shared" si="10"/>
        <v>649</v>
      </c>
      <c r="J36" s="66">
        <f t="shared" si="10"/>
        <v>57</v>
      </c>
      <c r="K36" s="66">
        <f t="shared" si="10"/>
        <v>21</v>
      </c>
      <c r="L36" s="66">
        <f t="shared" si="10"/>
        <v>1</v>
      </c>
      <c r="M36" s="66">
        <f t="shared" si="10"/>
        <v>79</v>
      </c>
      <c r="N36" s="66">
        <f t="shared" si="10"/>
        <v>1299</v>
      </c>
      <c r="O36" s="66">
        <f t="shared" si="10"/>
        <v>555</v>
      </c>
      <c r="P36" s="66">
        <f t="shared" si="10"/>
        <v>22</v>
      </c>
      <c r="Q36" s="66">
        <f t="shared" si="0"/>
        <v>1876</v>
      </c>
      <c r="R36" s="66">
        <f>Q36*1000</f>
        <v>1876000</v>
      </c>
    </row>
    <row r="37" spans="1:18">
      <c r="A37" s="21" t="s">
        <v>6</v>
      </c>
      <c r="B37" s="68">
        <v>360</v>
      </c>
      <c r="C37" s="68"/>
      <c r="D37" s="68">
        <v>435</v>
      </c>
      <c r="E37" s="68">
        <v>1821.8999671936035</v>
      </c>
      <c r="F37" s="68">
        <v>558</v>
      </c>
      <c r="G37" s="22" t="s">
        <v>1</v>
      </c>
      <c r="H37" s="63">
        <v>55</v>
      </c>
      <c r="I37" s="63">
        <v>306.89999999999998</v>
      </c>
      <c r="J37" s="63">
        <v>18</v>
      </c>
      <c r="K37" s="63">
        <v>9</v>
      </c>
      <c r="L37" s="63">
        <v>2</v>
      </c>
      <c r="M37" s="63">
        <v>29</v>
      </c>
      <c r="N37" s="63">
        <f>J37*$P$2/1000</f>
        <v>396</v>
      </c>
      <c r="O37" s="63">
        <f>K37*$Q$2/1000</f>
        <v>225</v>
      </c>
      <c r="P37" s="63">
        <f>L37*$P$2/1000</f>
        <v>44</v>
      </c>
      <c r="Q37" s="63">
        <f t="shared" si="0"/>
        <v>665</v>
      </c>
      <c r="R37" s="41">
        <f>M39</f>
        <v>81</v>
      </c>
    </row>
    <row r="38" spans="1:18">
      <c r="A38" s="16">
        <v>160</v>
      </c>
      <c r="B38" s="69"/>
      <c r="C38" s="69"/>
      <c r="D38" s="69"/>
      <c r="E38" s="69"/>
      <c r="F38" s="69"/>
      <c r="G38" s="64" t="s">
        <v>0</v>
      </c>
      <c r="H38" s="65">
        <v>45</v>
      </c>
      <c r="I38" s="65">
        <v>251.1</v>
      </c>
      <c r="J38" s="65">
        <v>39</v>
      </c>
      <c r="K38" s="65">
        <v>13</v>
      </c>
      <c r="L38" s="65"/>
      <c r="M38" s="65">
        <v>52</v>
      </c>
      <c r="N38" s="65">
        <f>J38*$P$3/1000</f>
        <v>897</v>
      </c>
      <c r="O38" s="65">
        <f>K38*$Q$3/1000</f>
        <v>351</v>
      </c>
      <c r="P38" s="65">
        <f>L38*$P$3/1000</f>
        <v>0</v>
      </c>
      <c r="Q38" s="65">
        <f t="shared" si="0"/>
        <v>1248</v>
      </c>
      <c r="R38" s="67"/>
    </row>
    <row r="39" spans="1:18">
      <c r="A39" s="17"/>
      <c r="B39" s="70"/>
      <c r="C39" s="70"/>
      <c r="D39" s="70"/>
      <c r="E39" s="70"/>
      <c r="F39" s="70"/>
      <c r="G39" s="23" t="s">
        <v>3</v>
      </c>
      <c r="H39" s="66">
        <f t="shared" ref="H39:P39" si="11">SUM(H37:H38)</f>
        <v>100</v>
      </c>
      <c r="I39" s="66">
        <f t="shared" si="11"/>
        <v>558</v>
      </c>
      <c r="J39" s="66">
        <f t="shared" si="11"/>
        <v>57</v>
      </c>
      <c r="K39" s="66">
        <f t="shared" si="11"/>
        <v>22</v>
      </c>
      <c r="L39" s="66">
        <f t="shared" si="11"/>
        <v>2</v>
      </c>
      <c r="M39" s="66">
        <f t="shared" si="11"/>
        <v>81</v>
      </c>
      <c r="N39" s="66">
        <f t="shared" si="11"/>
        <v>1293</v>
      </c>
      <c r="O39" s="66">
        <f t="shared" si="11"/>
        <v>576</v>
      </c>
      <c r="P39" s="66">
        <f t="shared" si="11"/>
        <v>44</v>
      </c>
      <c r="Q39" s="66">
        <f t="shared" si="0"/>
        <v>1913</v>
      </c>
      <c r="R39" s="66">
        <f>Q39*1000</f>
        <v>1913000</v>
      </c>
    </row>
    <row r="40" spans="1:18">
      <c r="A40" s="21" t="s">
        <v>5</v>
      </c>
      <c r="B40" s="68">
        <v>450</v>
      </c>
      <c r="C40" s="68"/>
      <c r="D40" s="68">
        <v>1500</v>
      </c>
      <c r="E40" s="68">
        <v>5949.4999170303345</v>
      </c>
      <c r="F40" s="68">
        <v>1824</v>
      </c>
      <c r="G40" s="22" t="s">
        <v>1</v>
      </c>
      <c r="H40" s="63">
        <v>45</v>
      </c>
      <c r="I40" s="63">
        <v>820.8</v>
      </c>
      <c r="J40" s="63">
        <v>32</v>
      </c>
      <c r="K40" s="63">
        <v>16</v>
      </c>
      <c r="L40" s="63">
        <v>4</v>
      </c>
      <c r="M40" s="63">
        <v>52</v>
      </c>
      <c r="N40" s="63">
        <f>J40*$P$2/1000</f>
        <v>704</v>
      </c>
      <c r="O40" s="63">
        <f>K40*$Q$2/1000</f>
        <v>400</v>
      </c>
      <c r="P40" s="63">
        <f>L40*$P$2/1000</f>
        <v>88</v>
      </c>
      <c r="Q40" s="63">
        <f t="shared" si="0"/>
        <v>1192</v>
      </c>
      <c r="R40" s="41">
        <f>M42</f>
        <v>200</v>
      </c>
    </row>
    <row r="41" spans="1:18">
      <c r="A41" s="16">
        <v>40</v>
      </c>
      <c r="B41" s="69"/>
      <c r="C41" s="69"/>
      <c r="D41" s="69"/>
      <c r="E41" s="69"/>
      <c r="F41" s="69"/>
      <c r="G41" s="64" t="s">
        <v>0</v>
      </c>
      <c r="H41" s="65">
        <v>55</v>
      </c>
      <c r="I41" s="65">
        <v>1003.2</v>
      </c>
      <c r="J41" s="65">
        <v>111</v>
      </c>
      <c r="K41" s="65">
        <v>37</v>
      </c>
      <c r="L41" s="65"/>
      <c r="M41" s="65">
        <v>148</v>
      </c>
      <c r="N41" s="65">
        <f>J41*$P$3/1000</f>
        <v>2553</v>
      </c>
      <c r="O41" s="65">
        <f>K41*$Q$3/1000</f>
        <v>999</v>
      </c>
      <c r="P41" s="65">
        <f>L41*$P$3/1000</f>
        <v>0</v>
      </c>
      <c r="Q41" s="65">
        <f t="shared" si="0"/>
        <v>3552</v>
      </c>
      <c r="R41" s="67"/>
    </row>
    <row r="42" spans="1:18">
      <c r="A42" s="17"/>
      <c r="B42" s="70"/>
      <c r="C42" s="70"/>
      <c r="D42" s="70"/>
      <c r="E42" s="70"/>
      <c r="F42" s="70"/>
      <c r="G42" s="23" t="s">
        <v>3</v>
      </c>
      <c r="H42" s="66">
        <f t="shared" ref="H42:P42" si="12">SUM(H40:H41)</f>
        <v>100</v>
      </c>
      <c r="I42" s="66">
        <f t="shared" si="12"/>
        <v>1824</v>
      </c>
      <c r="J42" s="66">
        <f t="shared" si="12"/>
        <v>143</v>
      </c>
      <c r="K42" s="66">
        <f t="shared" si="12"/>
        <v>53</v>
      </c>
      <c r="L42" s="66">
        <f t="shared" si="12"/>
        <v>4</v>
      </c>
      <c r="M42" s="66">
        <f t="shared" si="12"/>
        <v>200</v>
      </c>
      <c r="N42" s="66">
        <f t="shared" si="12"/>
        <v>3257</v>
      </c>
      <c r="O42" s="66">
        <f t="shared" si="12"/>
        <v>1399</v>
      </c>
      <c r="P42" s="66">
        <f t="shared" si="12"/>
        <v>88</v>
      </c>
      <c r="Q42" s="66">
        <f t="shared" si="0"/>
        <v>4744</v>
      </c>
      <c r="R42" s="66">
        <f>Q42*1000</f>
        <v>4744000</v>
      </c>
    </row>
    <row r="43" spans="1:18">
      <c r="A43" s="21" t="s">
        <v>4</v>
      </c>
      <c r="B43" s="68">
        <v>300</v>
      </c>
      <c r="C43" s="68"/>
      <c r="D43" s="68">
        <v>375</v>
      </c>
      <c r="E43" s="68">
        <v>1201.5000104904175</v>
      </c>
      <c r="F43" s="68">
        <v>442</v>
      </c>
      <c r="G43" s="22" t="s">
        <v>1</v>
      </c>
      <c r="H43" s="63">
        <v>0</v>
      </c>
      <c r="I43" s="63">
        <v>0</v>
      </c>
      <c r="J43" s="63">
        <v>0</v>
      </c>
      <c r="K43" s="63">
        <v>0</v>
      </c>
      <c r="L43" s="63">
        <v>0</v>
      </c>
      <c r="M43" s="63">
        <v>0</v>
      </c>
      <c r="N43" s="63">
        <f>J43*$P$2/1000</f>
        <v>0</v>
      </c>
      <c r="O43" s="63">
        <f>K43*$Q$2/1000</f>
        <v>0</v>
      </c>
      <c r="P43" s="63">
        <f>L43*$P$2/1000</f>
        <v>0</v>
      </c>
      <c r="Q43" s="63">
        <f t="shared" si="0"/>
        <v>0</v>
      </c>
      <c r="R43" s="41">
        <f>M45</f>
        <v>84</v>
      </c>
    </row>
    <row r="44" spans="1:18">
      <c r="A44" s="16">
        <v>80</v>
      </c>
      <c r="B44" s="69"/>
      <c r="C44" s="69"/>
      <c r="D44" s="69"/>
      <c r="E44" s="69"/>
      <c r="F44" s="69"/>
      <c r="G44" s="64" t="s">
        <v>0</v>
      </c>
      <c r="H44" s="65">
        <v>100</v>
      </c>
      <c r="I44" s="65">
        <v>442</v>
      </c>
      <c r="J44" s="65">
        <v>63</v>
      </c>
      <c r="K44" s="65">
        <v>21</v>
      </c>
      <c r="L44" s="65"/>
      <c r="M44" s="65">
        <v>84</v>
      </c>
      <c r="N44" s="65">
        <f>J44*$P$3/1000</f>
        <v>1449</v>
      </c>
      <c r="O44" s="65">
        <f>K44*$Q$3/1000</f>
        <v>567</v>
      </c>
      <c r="P44" s="65">
        <f>L44*$P$3/1000</f>
        <v>0</v>
      </c>
      <c r="Q44" s="65">
        <f t="shared" si="0"/>
        <v>2016</v>
      </c>
      <c r="R44" s="67"/>
    </row>
    <row r="45" spans="1:18">
      <c r="A45" s="17"/>
      <c r="B45" s="70"/>
      <c r="C45" s="70"/>
      <c r="D45" s="70"/>
      <c r="E45" s="70"/>
      <c r="F45" s="70"/>
      <c r="G45" s="23" t="s">
        <v>3</v>
      </c>
      <c r="H45" s="66">
        <f t="shared" ref="H45:P45" si="13">SUM(H43:H44)</f>
        <v>100</v>
      </c>
      <c r="I45" s="66">
        <f t="shared" si="13"/>
        <v>442</v>
      </c>
      <c r="J45" s="66">
        <f t="shared" si="13"/>
        <v>63</v>
      </c>
      <c r="K45" s="66">
        <f t="shared" si="13"/>
        <v>21</v>
      </c>
      <c r="L45" s="66">
        <f t="shared" si="13"/>
        <v>0</v>
      </c>
      <c r="M45" s="66">
        <f t="shared" si="13"/>
        <v>84</v>
      </c>
      <c r="N45" s="66">
        <f t="shared" si="13"/>
        <v>1449</v>
      </c>
      <c r="O45" s="66">
        <f t="shared" si="13"/>
        <v>567</v>
      </c>
      <c r="P45" s="66">
        <f t="shared" si="13"/>
        <v>0</v>
      </c>
      <c r="Q45" s="66">
        <f t="shared" si="0"/>
        <v>2016</v>
      </c>
      <c r="R45" s="66">
        <f>Q45*1000</f>
        <v>2016000</v>
      </c>
    </row>
    <row r="46" spans="1:18">
      <c r="A46" s="89" t="s">
        <v>2</v>
      </c>
      <c r="B46" s="90">
        <f>SUM(B7:B45)</f>
        <v>18804</v>
      </c>
      <c r="C46" s="90">
        <f>SUM(C7:C45)</f>
        <v>0</v>
      </c>
      <c r="D46" s="90">
        <f>SUM(D7:D45)</f>
        <v>85812.5</v>
      </c>
      <c r="E46" s="90">
        <f>SUM(E7:E45)</f>
        <v>409183.54290151596</v>
      </c>
      <c r="F46" s="90">
        <f>SUM(F7:F45)</f>
        <v>58129</v>
      </c>
      <c r="G46" s="31" t="s">
        <v>1</v>
      </c>
      <c r="H46" s="91"/>
      <c r="I46" s="91">
        <f>I7+I10+I13+I16+I19+I22+I25+I28+I31+I34+I37+I40+I43</f>
        <v>20679.899999999998</v>
      </c>
      <c r="J46" s="91">
        <f>J7+J10+J13+J16+J19+J22+J25+J28+J31+J34+J37+J40+J43</f>
        <v>568</v>
      </c>
      <c r="K46" s="91">
        <f>K7+K10+K13+K16+K19+K22+K25+K28+K31+K34+K37+K40+K43</f>
        <v>284</v>
      </c>
      <c r="L46" s="91">
        <f>L7+L10+L13+L16+L19+L22+L25+L28+L31+L34+L37+L40+L43</f>
        <v>81</v>
      </c>
      <c r="M46" s="91">
        <f>M7+M10+M13+M16+M19+M22+M25+M28+M31+M34+M37+M40+M43</f>
        <v>933</v>
      </c>
      <c r="N46" s="91">
        <f>N7+N10+N13+N16+N19+N22+N25+N28+N31+N34+N37+N40+N43</f>
        <v>12496</v>
      </c>
      <c r="O46" s="91">
        <f>O7+O10+O13+O16+O19+O22+O25+O28+O31+O34+O37+O40+O43</f>
        <v>7100</v>
      </c>
      <c r="P46" s="91">
        <f>P7+P10+P13+P16+P19+P22+P25+P28+P31+P34+P37+P40+P43</f>
        <v>1782</v>
      </c>
      <c r="Q46" s="91">
        <f>Q7+Q10+Q13+Q16+Q19+Q22+Q25+Q28+Q31+Q34+Q37+Q40+Q43</f>
        <v>21378</v>
      </c>
      <c r="R46" s="92"/>
    </row>
    <row r="47" spans="1:18">
      <c r="A47" s="93"/>
      <c r="B47" s="94"/>
      <c r="C47" s="94"/>
      <c r="D47" s="94"/>
      <c r="E47" s="94"/>
      <c r="F47" s="94"/>
      <c r="G47" s="95" t="s">
        <v>0</v>
      </c>
      <c r="H47" s="96"/>
      <c r="I47" s="96">
        <f>I8+I11+I14+I17+I20+I23+I26+I29+I32+I35+I38+I41+I44</f>
        <v>37449.099999999991</v>
      </c>
      <c r="J47" s="96">
        <f>J8+J11+J14+J17+J20+J23+J26+J29+J32+J35+J38+J41+J44</f>
        <v>3075</v>
      </c>
      <c r="K47" s="96">
        <f>K8+K11+K14+K17+K20+K23+K26+K29+K32+K35+K38+K41+K44</f>
        <v>1025</v>
      </c>
      <c r="L47" s="96">
        <f>L8+L11+L14+L17+L20+L23+L26+L29+L32+L35+L38+L41+L44</f>
        <v>0</v>
      </c>
      <c r="M47" s="96">
        <f>M8+M11+M14+M17+M20+M23+M26+M29+M32+M35+M38+M41+M44</f>
        <v>4100</v>
      </c>
      <c r="N47" s="96">
        <f>N8+N11+N14+N17+N20+N23+N26+N29+N32+N35+N38+N41+N44</f>
        <v>70725</v>
      </c>
      <c r="O47" s="96">
        <f>O8+O11+O14+O17+O20+O23+O26+O29+O32+O35+O38+O41+O44</f>
        <v>27675</v>
      </c>
      <c r="P47" s="96">
        <f>P8+P11+P14+P17+P20+P23+P26+P29+P32+P35+P38+P41+P44</f>
        <v>0</v>
      </c>
      <c r="Q47" s="96">
        <f>Q8+Q11+Q14+Q17+Q20+Q23+Q26+Q29+Q32+Q35+Q38+Q41+Q44</f>
        <v>98400</v>
      </c>
      <c r="R47" s="97"/>
    </row>
    <row r="48" spans="1:18">
      <c r="A48" s="98"/>
      <c r="B48" s="99"/>
      <c r="C48" s="99"/>
      <c r="D48" s="99"/>
      <c r="E48" s="99"/>
      <c r="F48" s="99"/>
      <c r="G48" s="34" t="s">
        <v>3</v>
      </c>
      <c r="H48" s="100"/>
      <c r="I48" s="100">
        <f t="shared" ref="I48:Q48" si="14">SUM(I46:I47)</f>
        <v>58128.999999999985</v>
      </c>
      <c r="J48" s="100">
        <f t="shared" si="14"/>
        <v>3643</v>
      </c>
      <c r="K48" s="100">
        <f t="shared" si="14"/>
        <v>1309</v>
      </c>
      <c r="L48" s="100">
        <f t="shared" si="14"/>
        <v>81</v>
      </c>
      <c r="M48" s="100">
        <f t="shared" si="14"/>
        <v>5033</v>
      </c>
      <c r="N48" s="100">
        <f t="shared" si="14"/>
        <v>83221</v>
      </c>
      <c r="O48" s="100">
        <f t="shared" si="14"/>
        <v>34775</v>
      </c>
      <c r="P48" s="100">
        <f t="shared" si="14"/>
        <v>1782</v>
      </c>
      <c r="Q48" s="100">
        <f t="shared" si="14"/>
        <v>119778</v>
      </c>
      <c r="R48" s="100">
        <f>R9+R12+R15+R18+R24+R27+R30+R33+R36+R39+R42+R45</f>
        <v>117474000</v>
      </c>
    </row>
  </sheetData>
  <mergeCells count="71">
    <mergeCell ref="F46:F48"/>
    <mergeCell ref="B7:B9"/>
    <mergeCell ref="C7:C9"/>
    <mergeCell ref="D7:D9"/>
    <mergeCell ref="E7:E9"/>
    <mergeCell ref="F7:F9"/>
    <mergeCell ref="B13:B15"/>
    <mergeCell ref="C13:C15"/>
    <mergeCell ref="D13:D15"/>
    <mergeCell ref="E13:E15"/>
    <mergeCell ref="F13:F15"/>
    <mergeCell ref="B10:B12"/>
    <mergeCell ref="C10:C12"/>
    <mergeCell ref="D10:D12"/>
    <mergeCell ref="E10:E12"/>
    <mergeCell ref="F10:F12"/>
    <mergeCell ref="B19:B21"/>
    <mergeCell ref="C19:C21"/>
    <mergeCell ref="D19:D21"/>
    <mergeCell ref="E19:E21"/>
    <mergeCell ref="F19:F21"/>
    <mergeCell ref="B16:B18"/>
    <mergeCell ref="C16:C18"/>
    <mergeCell ref="D16:D18"/>
    <mergeCell ref="E16:E18"/>
    <mergeCell ref="F16:F18"/>
    <mergeCell ref="B25:B27"/>
    <mergeCell ref="C25:C27"/>
    <mergeCell ref="D25:D27"/>
    <mergeCell ref="E25:E27"/>
    <mergeCell ref="F25:F27"/>
    <mergeCell ref="B22:B24"/>
    <mergeCell ref="C22:C24"/>
    <mergeCell ref="D22:D24"/>
    <mergeCell ref="E22:E24"/>
    <mergeCell ref="F22:F24"/>
    <mergeCell ref="B31:B33"/>
    <mergeCell ref="C31:C33"/>
    <mergeCell ref="D31:D33"/>
    <mergeCell ref="E31:E33"/>
    <mergeCell ref="F31:F33"/>
    <mergeCell ref="B28:B30"/>
    <mergeCell ref="C28:C30"/>
    <mergeCell ref="D28:D30"/>
    <mergeCell ref="E28:E30"/>
    <mergeCell ref="F28:F30"/>
    <mergeCell ref="B37:B39"/>
    <mergeCell ref="C37:C39"/>
    <mergeCell ref="D37:D39"/>
    <mergeCell ref="E37:E39"/>
    <mergeCell ref="F37:F39"/>
    <mergeCell ref="B34:B36"/>
    <mergeCell ref="C34:C36"/>
    <mergeCell ref="D34:D36"/>
    <mergeCell ref="E34:E36"/>
    <mergeCell ref="F34:F36"/>
    <mergeCell ref="B43:B45"/>
    <mergeCell ref="C43:C45"/>
    <mergeCell ref="D43:D45"/>
    <mergeCell ref="E43:E45"/>
    <mergeCell ref="F43:F45"/>
    <mergeCell ref="B40:B42"/>
    <mergeCell ref="C40:C42"/>
    <mergeCell ref="D40:D42"/>
    <mergeCell ref="E40:E42"/>
    <mergeCell ref="F40:F42"/>
    <mergeCell ref="A46:A48"/>
    <mergeCell ref="B46:B48"/>
    <mergeCell ref="C46:C48"/>
    <mergeCell ref="D46:D48"/>
    <mergeCell ref="E46:E48"/>
  </mergeCells>
  <phoneticPr fontId="2"/>
  <printOptions horizontalCentered="1"/>
  <pageMargins left="0.19685039370078741" right="0.19685039370078741" top="0.78740157480314965" bottom="0.39370078740157483" header="0.51181102362204722" footer="0.51181102362204722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39"/>
  <sheetViews>
    <sheetView workbookViewId="0">
      <selection activeCell="N15" sqref="N15"/>
    </sheetView>
  </sheetViews>
  <sheetFormatPr defaultRowHeight="10.5"/>
  <cols>
    <col min="1" max="1" width="11.875" style="1" customWidth="1"/>
    <col min="2" max="15" width="8.25" style="1" customWidth="1"/>
    <col min="16" max="16" width="13.625" style="1" customWidth="1"/>
    <col min="17" max="17" width="10.75" style="1" customWidth="1"/>
    <col min="18" max="16384" width="9" style="1"/>
  </cols>
  <sheetData>
    <row r="1" spans="1:16">
      <c r="A1" s="1" t="s">
        <v>131</v>
      </c>
      <c r="C1" s="6"/>
      <c r="D1" s="3"/>
      <c r="E1" s="3"/>
      <c r="F1" s="3"/>
      <c r="G1" s="3"/>
      <c r="H1" s="3"/>
      <c r="J1" s="6"/>
      <c r="K1" s="6"/>
      <c r="P1" s="2"/>
    </row>
    <row r="2" spans="1:16">
      <c r="E2" s="5"/>
      <c r="N2" s="5"/>
    </row>
    <row r="3" spans="1:16">
      <c r="A3" s="24" t="s">
        <v>41</v>
      </c>
      <c r="B3" s="84" t="s">
        <v>102</v>
      </c>
      <c r="C3" s="84"/>
      <c r="D3" s="84"/>
      <c r="E3" s="84" t="s">
        <v>103</v>
      </c>
      <c r="F3" s="84"/>
      <c r="G3" s="84"/>
      <c r="H3" s="84"/>
      <c r="I3" s="84"/>
      <c r="J3" s="84" t="s">
        <v>104</v>
      </c>
      <c r="K3" s="84"/>
      <c r="L3" s="84"/>
      <c r="M3" s="84"/>
      <c r="N3" s="84"/>
      <c r="O3" s="84" t="s">
        <v>130</v>
      </c>
      <c r="P3" s="84"/>
    </row>
    <row r="4" spans="1:16">
      <c r="A4" s="29"/>
      <c r="B4" s="24" t="s">
        <v>40</v>
      </c>
      <c r="C4" s="24" t="s">
        <v>39</v>
      </c>
      <c r="D4" s="83" t="s">
        <v>97</v>
      </c>
      <c r="E4" s="24" t="s">
        <v>27</v>
      </c>
      <c r="F4" s="83" t="s">
        <v>25</v>
      </c>
      <c r="G4" s="83" t="s">
        <v>24</v>
      </c>
      <c r="H4" s="86" t="s">
        <v>26</v>
      </c>
      <c r="I4" s="24" t="s">
        <v>38</v>
      </c>
      <c r="J4" s="24" t="s">
        <v>27</v>
      </c>
      <c r="K4" s="83" t="s">
        <v>25</v>
      </c>
      <c r="L4" s="83" t="s">
        <v>24</v>
      </c>
      <c r="M4" s="83" t="s">
        <v>26</v>
      </c>
      <c r="N4" s="87" t="s">
        <v>38</v>
      </c>
      <c r="O4" s="24" t="s">
        <v>23</v>
      </c>
      <c r="P4" s="83" t="s">
        <v>38</v>
      </c>
    </row>
    <row r="5" spans="1:16">
      <c r="A5" s="32"/>
      <c r="B5" s="32"/>
      <c r="C5" s="32" t="s">
        <v>21</v>
      </c>
      <c r="D5" s="33" t="s">
        <v>98</v>
      </c>
      <c r="E5" s="32" t="s">
        <v>19</v>
      </c>
      <c r="F5" s="33" t="s">
        <v>18</v>
      </c>
      <c r="G5" s="33" t="s">
        <v>100</v>
      </c>
      <c r="H5" s="36" t="s">
        <v>138</v>
      </c>
      <c r="I5" s="32" t="s">
        <v>123</v>
      </c>
      <c r="J5" s="32" t="s">
        <v>19</v>
      </c>
      <c r="K5" s="33" t="s">
        <v>18</v>
      </c>
      <c r="L5" s="33" t="s">
        <v>100</v>
      </c>
      <c r="M5" s="36" t="s">
        <v>138</v>
      </c>
      <c r="N5" s="38" t="s">
        <v>123</v>
      </c>
      <c r="O5" s="32" t="s">
        <v>125</v>
      </c>
      <c r="P5" s="33" t="s">
        <v>124</v>
      </c>
    </row>
    <row r="6" spans="1:16">
      <c r="A6" s="18" t="s">
        <v>107</v>
      </c>
      <c r="B6" s="39">
        <v>0</v>
      </c>
      <c r="C6" s="40">
        <v>127842.8</v>
      </c>
      <c r="D6" s="9"/>
      <c r="E6" s="41"/>
      <c r="F6" s="14"/>
      <c r="G6" s="14"/>
      <c r="H6" s="14"/>
      <c r="I6" s="14"/>
      <c r="J6" s="40">
        <v>243</v>
      </c>
      <c r="K6" s="14"/>
      <c r="L6" s="14"/>
      <c r="M6" s="42">
        <f>J6</f>
        <v>243</v>
      </c>
      <c r="N6" s="43">
        <v>5589</v>
      </c>
      <c r="O6" s="40">
        <f>M6+H6</f>
        <v>243</v>
      </c>
      <c r="P6" s="42">
        <f>(I6+N6)*1000</f>
        <v>5589000</v>
      </c>
    </row>
    <row r="7" spans="1:16">
      <c r="A7" s="17"/>
      <c r="B7" s="44"/>
      <c r="C7" s="44"/>
      <c r="D7" s="10"/>
      <c r="E7" s="44"/>
      <c r="F7" s="10"/>
      <c r="G7" s="11"/>
      <c r="H7" s="44"/>
      <c r="I7" s="10"/>
      <c r="J7" s="45"/>
      <c r="K7" s="44"/>
      <c r="L7" s="11"/>
      <c r="M7" s="46"/>
      <c r="N7" s="11"/>
      <c r="O7" s="46"/>
      <c r="P7" s="47"/>
    </row>
    <row r="8" spans="1:16">
      <c r="A8" s="18" t="s">
        <v>108</v>
      </c>
      <c r="B8" s="39">
        <v>1400.5</v>
      </c>
      <c r="C8" s="40">
        <v>18976</v>
      </c>
      <c r="D8" s="14"/>
      <c r="E8" s="41"/>
      <c r="F8" s="14"/>
      <c r="G8" s="15"/>
      <c r="H8" s="41"/>
      <c r="I8" s="14"/>
      <c r="J8" s="48">
        <v>186</v>
      </c>
      <c r="K8" s="39"/>
      <c r="L8" s="49"/>
      <c r="M8" s="42">
        <f>J8</f>
        <v>186</v>
      </c>
      <c r="N8" s="43">
        <v>4278</v>
      </c>
      <c r="O8" s="40">
        <f>M8+H8</f>
        <v>186</v>
      </c>
      <c r="P8" s="42">
        <f>(I8+N8)*1000</f>
        <v>4278000</v>
      </c>
    </row>
    <row r="9" spans="1:16">
      <c r="A9" s="17"/>
      <c r="B9" s="44"/>
      <c r="C9" s="44"/>
      <c r="D9" s="10"/>
      <c r="E9" s="44"/>
      <c r="F9" s="10"/>
      <c r="G9" s="11"/>
      <c r="H9" s="44"/>
      <c r="I9" s="10"/>
      <c r="J9" s="45"/>
      <c r="K9" s="44"/>
      <c r="L9" s="10"/>
      <c r="M9" s="47"/>
      <c r="N9" s="50"/>
      <c r="O9" s="46"/>
      <c r="P9" s="47"/>
    </row>
    <row r="10" spans="1:16">
      <c r="A10" s="18" t="s">
        <v>37</v>
      </c>
      <c r="B10" s="41"/>
      <c r="C10" s="39">
        <v>169.74809499999998</v>
      </c>
      <c r="D10" s="14"/>
      <c r="E10" s="41"/>
      <c r="F10" s="14"/>
      <c r="G10" s="15"/>
      <c r="H10" s="41"/>
      <c r="I10" s="14"/>
      <c r="J10" s="48">
        <v>71</v>
      </c>
      <c r="K10" s="39"/>
      <c r="L10" s="49"/>
      <c r="M10" s="42">
        <f>J10</f>
        <v>71</v>
      </c>
      <c r="N10" s="43">
        <v>1633</v>
      </c>
      <c r="O10" s="40">
        <f>M10+H10</f>
        <v>71</v>
      </c>
      <c r="P10" s="42">
        <f>(I10+N10)*1000</f>
        <v>1633000</v>
      </c>
    </row>
    <row r="11" spans="1:16">
      <c r="A11" s="17"/>
      <c r="B11" s="44"/>
      <c r="C11" s="44"/>
      <c r="D11" s="10"/>
      <c r="E11" s="44"/>
      <c r="F11" s="10"/>
      <c r="G11" s="11"/>
      <c r="H11" s="44"/>
      <c r="I11" s="10"/>
      <c r="J11" s="45"/>
      <c r="K11" s="44"/>
      <c r="L11" s="10"/>
      <c r="M11" s="47"/>
      <c r="N11" s="50"/>
      <c r="O11" s="46"/>
      <c r="P11" s="47"/>
    </row>
    <row r="12" spans="1:16">
      <c r="A12" s="18" t="s">
        <v>105</v>
      </c>
      <c r="B12" s="39">
        <v>100</v>
      </c>
      <c r="C12" s="41"/>
      <c r="D12" s="14"/>
      <c r="E12" s="41"/>
      <c r="F12" s="14"/>
      <c r="G12" s="15"/>
      <c r="H12" s="41"/>
      <c r="I12" s="14"/>
      <c r="J12" s="48">
        <v>50</v>
      </c>
      <c r="K12" s="39">
        <v>10</v>
      </c>
      <c r="L12" s="49"/>
      <c r="M12" s="42">
        <f>J12+K12</f>
        <v>60</v>
      </c>
      <c r="N12" s="43">
        <v>1690</v>
      </c>
      <c r="O12" s="40">
        <f>M12+H12</f>
        <v>60</v>
      </c>
      <c r="P12" s="42">
        <f>(I12+N12)*1000</f>
        <v>1690000</v>
      </c>
    </row>
    <row r="13" spans="1:16">
      <c r="A13" s="17"/>
      <c r="B13" s="44"/>
      <c r="C13" s="44"/>
      <c r="D13" s="10"/>
      <c r="E13" s="44"/>
      <c r="F13" s="10"/>
      <c r="G13" s="11"/>
      <c r="H13" s="44"/>
      <c r="I13" s="10"/>
      <c r="J13" s="45"/>
      <c r="K13" s="44"/>
      <c r="L13" s="10"/>
      <c r="M13" s="47"/>
      <c r="N13" s="50"/>
      <c r="O13" s="46"/>
      <c r="P13" s="47"/>
    </row>
    <row r="14" spans="1:16">
      <c r="A14" s="18" t="s">
        <v>101</v>
      </c>
      <c r="B14" s="39">
        <v>3500</v>
      </c>
      <c r="C14" s="41"/>
      <c r="D14" s="14"/>
      <c r="E14" s="51"/>
      <c r="F14" s="41"/>
      <c r="G14" s="15"/>
      <c r="H14" s="41"/>
      <c r="I14" s="14"/>
      <c r="J14" s="48">
        <v>206</v>
      </c>
      <c r="K14" s="39"/>
      <c r="L14" s="49"/>
      <c r="M14" s="42">
        <f>J14</f>
        <v>206</v>
      </c>
      <c r="N14" s="43">
        <v>4738</v>
      </c>
      <c r="O14" s="40">
        <f>M14+H14</f>
        <v>206</v>
      </c>
      <c r="P14" s="42">
        <f>(I14+N14)*1000</f>
        <v>4738000</v>
      </c>
    </row>
    <row r="15" spans="1:16">
      <c r="A15" s="7"/>
      <c r="B15" s="44"/>
      <c r="C15" s="44"/>
      <c r="D15" s="10"/>
      <c r="E15" s="44"/>
      <c r="F15" s="10"/>
      <c r="G15" s="11"/>
      <c r="H15" s="44"/>
      <c r="I15" s="10"/>
      <c r="J15" s="45"/>
      <c r="K15" s="44"/>
      <c r="L15" s="10"/>
      <c r="M15" s="47"/>
      <c r="N15" s="50"/>
      <c r="O15" s="46"/>
      <c r="P15" s="47"/>
    </row>
    <row r="16" spans="1:16">
      <c r="A16" s="18" t="s">
        <v>36</v>
      </c>
      <c r="B16" s="39"/>
      <c r="C16" s="41"/>
      <c r="D16" s="14"/>
      <c r="E16" s="39">
        <v>8.5</v>
      </c>
      <c r="F16" s="49">
        <v>8</v>
      </c>
      <c r="G16" s="52">
        <v>18</v>
      </c>
      <c r="H16" s="39"/>
      <c r="I16" s="49">
        <v>783</v>
      </c>
      <c r="J16" s="53"/>
      <c r="K16" s="41"/>
      <c r="L16" s="14"/>
      <c r="M16" s="9"/>
      <c r="N16" s="51"/>
      <c r="O16" s="40">
        <f>M16+H16</f>
        <v>0</v>
      </c>
      <c r="P16" s="42">
        <f>(I16+N16)*1000</f>
        <v>783000</v>
      </c>
    </row>
    <row r="17" spans="1:16">
      <c r="A17" s="7"/>
      <c r="B17" s="44"/>
      <c r="C17" s="44"/>
      <c r="D17" s="10"/>
      <c r="E17" s="44"/>
      <c r="F17" s="10"/>
      <c r="G17" s="11"/>
      <c r="H17" s="44"/>
      <c r="I17" s="10"/>
      <c r="J17" s="45"/>
      <c r="K17" s="44"/>
      <c r="L17" s="10"/>
      <c r="M17" s="47"/>
      <c r="N17" s="50"/>
      <c r="O17" s="46"/>
      <c r="P17" s="47"/>
    </row>
    <row r="18" spans="1:16">
      <c r="A18" s="35" t="s">
        <v>106</v>
      </c>
      <c r="B18" s="54"/>
      <c r="C18" s="54"/>
      <c r="D18" s="12"/>
      <c r="E18" s="54"/>
      <c r="F18" s="12"/>
      <c r="G18" s="19"/>
      <c r="H18" s="54"/>
      <c r="I18" s="12"/>
      <c r="J18" s="55"/>
      <c r="K18" s="54"/>
      <c r="L18" s="12"/>
      <c r="M18" s="56"/>
      <c r="N18" s="57"/>
      <c r="O18" s="58"/>
      <c r="P18" s="56">
        <v>500000</v>
      </c>
    </row>
    <row r="19" spans="1:16">
      <c r="A19" s="35"/>
      <c r="B19" s="54"/>
      <c r="C19" s="54"/>
      <c r="D19" s="12"/>
      <c r="E19" s="54"/>
      <c r="F19" s="12"/>
      <c r="G19" s="19"/>
      <c r="H19" s="54"/>
      <c r="I19" s="12"/>
      <c r="J19" s="59"/>
      <c r="K19" s="54"/>
      <c r="L19" s="12"/>
      <c r="M19" s="56"/>
      <c r="N19" s="57"/>
      <c r="O19" s="58"/>
      <c r="P19" s="56"/>
    </row>
    <row r="20" spans="1:16">
      <c r="A20" s="18" t="s">
        <v>35</v>
      </c>
      <c r="B20" s="41">
        <f t="shared" ref="B20:K20" si="0">SUM(B6:B19)</f>
        <v>5000.5</v>
      </c>
      <c r="C20" s="41">
        <f t="shared" si="0"/>
        <v>146988.54809499998</v>
      </c>
      <c r="D20" s="14">
        <f t="shared" si="0"/>
        <v>0</v>
      </c>
      <c r="E20" s="39">
        <f t="shared" si="0"/>
        <v>8.5</v>
      </c>
      <c r="F20" s="49">
        <f t="shared" si="0"/>
        <v>8</v>
      </c>
      <c r="G20" s="52">
        <f t="shared" si="0"/>
        <v>18</v>
      </c>
      <c r="H20" s="39">
        <f t="shared" si="0"/>
        <v>0</v>
      </c>
      <c r="I20" s="49">
        <f t="shared" si="0"/>
        <v>783</v>
      </c>
      <c r="J20" s="48">
        <f t="shared" si="0"/>
        <v>756</v>
      </c>
      <c r="K20" s="39">
        <f t="shared" si="0"/>
        <v>10</v>
      </c>
      <c r="L20" s="49"/>
      <c r="M20" s="42">
        <f>SUM(M6:M19)</f>
        <v>766</v>
      </c>
      <c r="N20" s="43">
        <f>SUM(N6:N19)</f>
        <v>17928</v>
      </c>
      <c r="O20" s="39">
        <f>SUM(O6:O19)</f>
        <v>766</v>
      </c>
      <c r="P20" s="42">
        <f>SUM(P6:P19)</f>
        <v>19211000</v>
      </c>
    </row>
    <row r="21" spans="1:16">
      <c r="A21" s="7"/>
      <c r="B21" s="44"/>
      <c r="C21" s="44"/>
      <c r="D21" s="10"/>
      <c r="E21" s="44"/>
      <c r="F21" s="10"/>
      <c r="G21" s="11"/>
      <c r="H21" s="44"/>
      <c r="I21" s="10"/>
      <c r="J21" s="45"/>
      <c r="K21" s="44"/>
      <c r="L21" s="10"/>
      <c r="M21" s="47"/>
      <c r="N21" s="50"/>
      <c r="O21" s="44"/>
      <c r="P21" s="47"/>
    </row>
    <row r="22" spans="1:16">
      <c r="I22" s="60"/>
      <c r="J22" s="61"/>
      <c r="K22" s="61"/>
      <c r="L22" s="62"/>
      <c r="M22" s="62"/>
      <c r="N22" s="60"/>
      <c r="O22" s="60"/>
      <c r="P22" s="2"/>
    </row>
    <row r="28" spans="1:16">
      <c r="J28" s="61"/>
      <c r="K28" s="61"/>
      <c r="L28" s="62"/>
      <c r="M28" s="62"/>
      <c r="O28" s="60"/>
      <c r="P28" s="2"/>
    </row>
    <row r="36" spans="1:16">
      <c r="O36" s="60"/>
      <c r="P36" s="2"/>
    </row>
    <row r="37" spans="1:16">
      <c r="O37" s="60"/>
      <c r="P37" s="2"/>
    </row>
    <row r="38" spans="1:16">
      <c r="A38" s="3"/>
      <c r="C38" s="8"/>
      <c r="O38" s="60"/>
      <c r="P38" s="2"/>
    </row>
    <row r="39" spans="1:16">
      <c r="O39" s="60"/>
      <c r="P39" s="2"/>
    </row>
  </sheetData>
  <phoneticPr fontId="2"/>
  <printOptions horizontalCentered="1"/>
  <pageMargins left="0.19685039370078741" right="0.19685039370078741" top="0.78740157480314965" bottom="0.39370078740157483" header="0.51181102362204722" footer="0.51181102362204722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7"/>
  <sheetViews>
    <sheetView showGridLines="0" zoomScaleNormal="100" workbookViewId="0">
      <selection activeCell="N15" sqref="N15"/>
    </sheetView>
  </sheetViews>
  <sheetFormatPr defaultRowHeight="10.5"/>
  <cols>
    <col min="1" max="1" width="11.125" style="1" customWidth="1"/>
    <col min="2" max="2" width="5.75" style="1" customWidth="1"/>
    <col min="3" max="3" width="6" style="1" bestFit="1" customWidth="1"/>
    <col min="4" max="4" width="7.625" style="1" customWidth="1"/>
    <col min="5" max="5" width="5.25" style="1" customWidth="1"/>
    <col min="6" max="8" width="7.625" style="1" customWidth="1"/>
    <col min="9" max="13" width="6.625" style="1" customWidth="1"/>
    <col min="14" max="19" width="7.625" style="1" customWidth="1"/>
    <col min="20" max="16384" width="9" style="1"/>
  </cols>
  <sheetData>
    <row r="1" spans="1:19">
      <c r="A1" s="1" t="s">
        <v>132</v>
      </c>
    </row>
    <row r="3" spans="1:19">
      <c r="A3" s="24" t="s">
        <v>120</v>
      </c>
      <c r="B3" s="24" t="s">
        <v>121</v>
      </c>
      <c r="C3" s="24" t="s">
        <v>128</v>
      </c>
      <c r="D3" s="77" t="s">
        <v>102</v>
      </c>
      <c r="E3" s="78"/>
      <c r="F3" s="78"/>
      <c r="G3" s="78"/>
      <c r="H3" s="79"/>
      <c r="I3" s="85" t="s">
        <v>40</v>
      </c>
      <c r="J3" s="85"/>
      <c r="K3" s="85"/>
      <c r="L3" s="85"/>
      <c r="M3" s="85"/>
      <c r="N3" s="37" t="s">
        <v>38</v>
      </c>
      <c r="O3" s="25"/>
      <c r="P3" s="25"/>
      <c r="Q3" s="78"/>
      <c r="R3" s="79"/>
      <c r="S3" s="24" t="s">
        <v>38</v>
      </c>
    </row>
    <row r="4" spans="1:19">
      <c r="A4" s="29" t="s">
        <v>31</v>
      </c>
      <c r="B4" s="29" t="s">
        <v>122</v>
      </c>
      <c r="C4" s="29" t="s">
        <v>129</v>
      </c>
      <c r="D4" s="24" t="s">
        <v>30</v>
      </c>
      <c r="E4" s="24" t="s">
        <v>29</v>
      </c>
      <c r="F4" s="24" t="s">
        <v>90</v>
      </c>
      <c r="G4" s="24" t="s">
        <v>28</v>
      </c>
      <c r="H4" s="24" t="s">
        <v>113</v>
      </c>
      <c r="I4" s="24" t="s">
        <v>49</v>
      </c>
      <c r="J4" s="24" t="s">
        <v>48</v>
      </c>
      <c r="K4" s="24" t="s">
        <v>47</v>
      </c>
      <c r="L4" s="24" t="s">
        <v>46</v>
      </c>
      <c r="M4" s="24" t="s">
        <v>115</v>
      </c>
      <c r="N4" s="24" t="s">
        <v>49</v>
      </c>
      <c r="O4" s="24" t="s">
        <v>48</v>
      </c>
      <c r="P4" s="24" t="s">
        <v>47</v>
      </c>
      <c r="Q4" s="24" t="s">
        <v>46</v>
      </c>
      <c r="R4" s="24" t="s">
        <v>45</v>
      </c>
      <c r="S4" s="29"/>
    </row>
    <row r="5" spans="1:19">
      <c r="A5" s="32"/>
      <c r="B5" s="32"/>
      <c r="C5" s="32"/>
      <c r="D5" s="32" t="s">
        <v>44</v>
      </c>
      <c r="E5" s="32" t="s">
        <v>22</v>
      </c>
      <c r="F5" s="32" t="s">
        <v>112</v>
      </c>
      <c r="G5" s="32" t="s">
        <v>21</v>
      </c>
      <c r="H5" s="32" t="s">
        <v>114</v>
      </c>
      <c r="I5" s="32" t="s">
        <v>21</v>
      </c>
      <c r="J5" s="32" t="s">
        <v>43</v>
      </c>
      <c r="K5" s="32" t="s">
        <v>21</v>
      </c>
      <c r="L5" s="32" t="s">
        <v>21</v>
      </c>
      <c r="M5" s="32" t="s">
        <v>116</v>
      </c>
      <c r="N5" s="32" t="s">
        <v>118</v>
      </c>
      <c r="O5" s="32" t="s">
        <v>118</v>
      </c>
      <c r="P5" s="32" t="s">
        <v>118</v>
      </c>
      <c r="Q5" s="32" t="s">
        <v>118</v>
      </c>
      <c r="R5" s="32" t="s">
        <v>117</v>
      </c>
      <c r="S5" s="32" t="s">
        <v>119</v>
      </c>
    </row>
    <row r="6" spans="1:19">
      <c r="A6" s="18" t="s">
        <v>16</v>
      </c>
      <c r="B6" s="73" t="s">
        <v>1</v>
      </c>
      <c r="C6" s="63">
        <v>35</v>
      </c>
      <c r="D6" s="80">
        <f>$C6/100*D8</f>
        <v>4285.05</v>
      </c>
      <c r="E6" s="80">
        <f>IF(D6=0,0,F6/D6)</f>
        <v>6.0233602875112302</v>
      </c>
      <c r="F6" s="63">
        <f>$C6/100*F8</f>
        <v>25810.399999999998</v>
      </c>
      <c r="G6" s="63">
        <f>$C6/100*G8</f>
        <v>130191.21605229376</v>
      </c>
      <c r="H6" s="63">
        <f>$C6/100*H8</f>
        <v>15697.849999999999</v>
      </c>
      <c r="I6" s="80">
        <f>$C6/100*I8</f>
        <v>783.57825000000003</v>
      </c>
      <c r="J6" s="80">
        <f t="shared" ref="J6:M6" si="0">$C6/100*J8</f>
        <v>313.95699999999999</v>
      </c>
      <c r="K6" s="80">
        <f t="shared" si="0"/>
        <v>156.9785</v>
      </c>
      <c r="L6" s="80">
        <f t="shared" si="0"/>
        <v>941.87099999999987</v>
      </c>
      <c r="M6" s="80">
        <f t="shared" si="0"/>
        <v>392.44625000000002</v>
      </c>
      <c r="N6" s="63">
        <f>$C6/100*N8</f>
        <v>305595.51750000002</v>
      </c>
      <c r="O6" s="63">
        <f t="shared" ref="O6:R6" si="1">$C6/100*O8</f>
        <v>94187.099999999991</v>
      </c>
      <c r="P6" s="63">
        <f t="shared" si="1"/>
        <v>156978.5</v>
      </c>
      <c r="Q6" s="63">
        <f t="shared" si="1"/>
        <v>800590.35</v>
      </c>
      <c r="R6" s="63">
        <f t="shared" si="1"/>
        <v>117733.87499999999</v>
      </c>
      <c r="S6" s="63">
        <f t="shared" ref="S6:S7" si="2">SUM(N6:R6)</f>
        <v>1475085.3424999998</v>
      </c>
    </row>
    <row r="7" spans="1:19">
      <c r="A7" s="35"/>
      <c r="B7" s="74" t="s">
        <v>0</v>
      </c>
      <c r="C7" s="65">
        <f>100-C6</f>
        <v>65</v>
      </c>
      <c r="D7" s="81">
        <f>$C7/100*D8</f>
        <v>7957.95</v>
      </c>
      <c r="E7" s="81">
        <f>IF(D7=0,0,F7/D7)</f>
        <v>6.0233602875112311</v>
      </c>
      <c r="F7" s="65">
        <f>$C7/100*F8</f>
        <v>47933.599999999999</v>
      </c>
      <c r="G7" s="65">
        <f>$C7/100*G8</f>
        <v>241783.68695425987</v>
      </c>
      <c r="H7" s="65">
        <f>$C7/100*H8</f>
        <v>29153.15</v>
      </c>
      <c r="I7" s="81">
        <f>$C7/100*I8</f>
        <v>1455.21675</v>
      </c>
      <c r="J7" s="81">
        <f t="shared" ref="J7:M7" si="3">$C7/100*J8</f>
        <v>583.06299999999999</v>
      </c>
      <c r="K7" s="81">
        <f t="shared" si="3"/>
        <v>291.53149999999999</v>
      </c>
      <c r="L7" s="81">
        <f t="shared" si="3"/>
        <v>1749.1890000000001</v>
      </c>
      <c r="M7" s="81">
        <f t="shared" si="3"/>
        <v>728.82875000000013</v>
      </c>
      <c r="N7" s="65">
        <f>$C7/100*N8</f>
        <v>567534.53250000009</v>
      </c>
      <c r="O7" s="65">
        <f t="shared" ref="O7:R7" si="4">$C7/100*O8</f>
        <v>174918.9</v>
      </c>
      <c r="P7" s="65">
        <f t="shared" si="4"/>
        <v>291531.5</v>
      </c>
      <c r="Q7" s="65">
        <f t="shared" si="4"/>
        <v>1486810.6500000001</v>
      </c>
      <c r="R7" s="65">
        <f t="shared" si="4"/>
        <v>218648.625</v>
      </c>
      <c r="S7" s="65">
        <f t="shared" ref="S7:S44" si="5">SUM(N7:R7)</f>
        <v>2739444.2075000005</v>
      </c>
    </row>
    <row r="8" spans="1:19">
      <c r="A8" s="7"/>
      <c r="B8" s="75" t="s">
        <v>3</v>
      </c>
      <c r="C8" s="66"/>
      <c r="D8" s="82">
        <v>12243</v>
      </c>
      <c r="E8" s="82" t="s">
        <v>42</v>
      </c>
      <c r="F8" s="66">
        <v>73744</v>
      </c>
      <c r="G8" s="66">
        <v>371974.90300655365</v>
      </c>
      <c r="H8" s="66">
        <v>44851</v>
      </c>
      <c r="I8" s="82">
        <v>2238.7950000000001</v>
      </c>
      <c r="J8" s="82">
        <v>897.02</v>
      </c>
      <c r="K8" s="82">
        <v>448.51</v>
      </c>
      <c r="L8" s="82">
        <v>2691.06</v>
      </c>
      <c r="M8" s="82">
        <v>1121.2750000000001</v>
      </c>
      <c r="N8" s="66">
        <v>873130.05</v>
      </c>
      <c r="O8" s="66">
        <v>269106</v>
      </c>
      <c r="P8" s="66">
        <v>448510</v>
      </c>
      <c r="Q8" s="66">
        <v>2287401</v>
      </c>
      <c r="R8" s="66">
        <v>336382.5</v>
      </c>
      <c r="S8" s="66">
        <f t="shared" si="5"/>
        <v>4214529.55</v>
      </c>
    </row>
    <row r="9" spans="1:19">
      <c r="A9" s="18" t="s">
        <v>15</v>
      </c>
      <c r="B9" s="73" t="s">
        <v>1</v>
      </c>
      <c r="C9" s="63">
        <v>55</v>
      </c>
      <c r="D9" s="80">
        <f>$C9/100*D11</f>
        <v>894.30000000000007</v>
      </c>
      <c r="E9" s="80">
        <f>IF(D9=0,0,F9/D9)</f>
        <v>1.1691266912669127</v>
      </c>
      <c r="F9" s="63">
        <f>$C9/100*F11</f>
        <v>1045.5500000000002</v>
      </c>
      <c r="G9" s="63">
        <f>$C9/100*G11</f>
        <v>3007.7794569551947</v>
      </c>
      <c r="H9" s="63">
        <f>$C9/100*H11</f>
        <v>1262.25</v>
      </c>
      <c r="I9" s="80">
        <f>$C9/100*I11</f>
        <v>35.758750000000013</v>
      </c>
      <c r="J9" s="80">
        <f t="shared" ref="J9:M9" si="6">$C9/100*J11</f>
        <v>25.243750000000002</v>
      </c>
      <c r="K9" s="80">
        <f t="shared" si="6"/>
        <v>12.621875000000001</v>
      </c>
      <c r="L9" s="80">
        <f t="shared" si="6"/>
        <v>75.731250000000003</v>
      </c>
      <c r="M9" s="80">
        <f t="shared" si="6"/>
        <v>31.554687500000004</v>
      </c>
      <c r="N9" s="63">
        <f>$C9/100*N11</f>
        <v>13945.9125</v>
      </c>
      <c r="O9" s="63">
        <f t="shared" ref="O9:R9" si="7">$C9/100*O11</f>
        <v>7573.1250000000009</v>
      </c>
      <c r="P9" s="63">
        <f t="shared" si="7"/>
        <v>12621.875</v>
      </c>
      <c r="Q9" s="63">
        <f t="shared" si="7"/>
        <v>64371.562500000007</v>
      </c>
      <c r="R9" s="63">
        <f t="shared" si="7"/>
        <v>9466.4062500000018</v>
      </c>
      <c r="S9" s="63">
        <f t="shared" si="5"/>
        <v>107978.88125000001</v>
      </c>
    </row>
    <row r="10" spans="1:19">
      <c r="A10" s="35"/>
      <c r="B10" s="74" t="s">
        <v>0</v>
      </c>
      <c r="C10" s="65">
        <f>100-C9</f>
        <v>45</v>
      </c>
      <c r="D10" s="81">
        <f>$C10/100*D11</f>
        <v>731.7</v>
      </c>
      <c r="E10" s="81">
        <f>IF(D10=0,0,F10/D10)</f>
        <v>1.1691266912669127</v>
      </c>
      <c r="F10" s="65">
        <f>$C10/100*F11</f>
        <v>855.45</v>
      </c>
      <c r="G10" s="65">
        <f>$C10/100*G11</f>
        <v>2460.9104647815229</v>
      </c>
      <c r="H10" s="65">
        <f>$C10/100*H11</f>
        <v>1032.75</v>
      </c>
      <c r="I10" s="81">
        <f>$C10/100*I11</f>
        <v>29.257159090909099</v>
      </c>
      <c r="J10" s="81">
        <f t="shared" ref="J10" si="8">$C10/100*J11</f>
        <v>20.653977272727275</v>
      </c>
      <c r="K10" s="81">
        <f t="shared" ref="K10" si="9">$C10/100*K11</f>
        <v>10.326988636363637</v>
      </c>
      <c r="L10" s="81">
        <f t="shared" ref="L10" si="10">$C10/100*L11</f>
        <v>61.961931818181817</v>
      </c>
      <c r="M10" s="81">
        <f t="shared" ref="M10" si="11">$C10/100*M11</f>
        <v>25.817471590909093</v>
      </c>
      <c r="N10" s="65">
        <f>$C10/100*N11</f>
        <v>11410.292045454546</v>
      </c>
      <c r="O10" s="65">
        <f t="shared" ref="O10" si="12">$C10/100*O11</f>
        <v>6196.193181818182</v>
      </c>
      <c r="P10" s="65">
        <f t="shared" ref="P10" si="13">$C10/100*P11</f>
        <v>10326.988636363636</v>
      </c>
      <c r="Q10" s="65">
        <f t="shared" ref="Q10" si="14">$C10/100*Q11</f>
        <v>52667.642045454544</v>
      </c>
      <c r="R10" s="65">
        <f t="shared" ref="R10" si="15">$C10/100*R11</f>
        <v>7745.2414772727279</v>
      </c>
      <c r="S10" s="65">
        <f t="shared" si="5"/>
        <v>88346.357386363641</v>
      </c>
    </row>
    <row r="11" spans="1:19">
      <c r="A11" s="7"/>
      <c r="B11" s="75" t="s">
        <v>3</v>
      </c>
      <c r="C11" s="66"/>
      <c r="D11" s="82">
        <v>1626</v>
      </c>
      <c r="E11" s="82" t="s">
        <v>42</v>
      </c>
      <c r="F11" s="66">
        <v>1901</v>
      </c>
      <c r="G11" s="66">
        <v>5468.6899217367172</v>
      </c>
      <c r="H11" s="66">
        <v>2295</v>
      </c>
      <c r="I11" s="82">
        <v>65.015909090909105</v>
      </c>
      <c r="J11" s="82">
        <v>45.897727272727273</v>
      </c>
      <c r="K11" s="82">
        <v>22.948863636363637</v>
      </c>
      <c r="L11" s="82">
        <v>137.69318181818181</v>
      </c>
      <c r="M11" s="82">
        <v>57.372159090909093</v>
      </c>
      <c r="N11" s="66">
        <v>25356.204545454544</v>
      </c>
      <c r="O11" s="66">
        <v>13769.318181818182</v>
      </c>
      <c r="P11" s="66">
        <v>22948.863636363636</v>
      </c>
      <c r="Q11" s="66">
        <v>117039.20454545454</v>
      </c>
      <c r="R11" s="66">
        <v>17211.647727272728</v>
      </c>
      <c r="S11" s="66">
        <f t="shared" si="5"/>
        <v>196325.23863636365</v>
      </c>
    </row>
    <row r="12" spans="1:19">
      <c r="A12" s="18" t="s">
        <v>14</v>
      </c>
      <c r="B12" s="73" t="s">
        <v>1</v>
      </c>
      <c r="C12" s="63">
        <v>20</v>
      </c>
      <c r="D12" s="80">
        <f>$C12/100*D14</f>
        <v>90</v>
      </c>
      <c r="E12" s="80">
        <f>IF(D12=0,0,F12/D12)</f>
        <v>1.2722222222222221</v>
      </c>
      <c r="F12" s="63">
        <f>$C12/100*F14</f>
        <v>114.5</v>
      </c>
      <c r="G12" s="63">
        <f>$C12/100*G14</f>
        <v>241.05999660491943</v>
      </c>
      <c r="H12" s="63">
        <f>$C12/100*H14</f>
        <v>143.6</v>
      </c>
      <c r="I12" s="80">
        <f>$C12/100*I14</f>
        <v>6.7303636363636361</v>
      </c>
      <c r="J12" s="80">
        <f t="shared" ref="J12:M12" si="16">$C12/100*J14</f>
        <v>2.873863636363637</v>
      </c>
      <c r="K12" s="80">
        <f t="shared" si="16"/>
        <v>1.4369318181818185</v>
      </c>
      <c r="L12" s="80">
        <f t="shared" si="16"/>
        <v>3.5923295454545463</v>
      </c>
      <c r="M12" s="80">
        <f t="shared" si="16"/>
        <v>3.5923295454545463</v>
      </c>
      <c r="N12" s="63">
        <f>$C12/100*N14</f>
        <v>7739.9181818181823</v>
      </c>
      <c r="O12" s="63">
        <f t="shared" ref="O12:R12" si="17">$C12/100*O14</f>
        <v>862.15909090909099</v>
      </c>
      <c r="P12" s="63">
        <f t="shared" si="17"/>
        <v>1436.9318181818185</v>
      </c>
      <c r="Q12" s="63">
        <f t="shared" si="17"/>
        <v>3053.480113636364</v>
      </c>
      <c r="R12" s="63">
        <f t="shared" si="17"/>
        <v>1077.6988636363637</v>
      </c>
      <c r="S12" s="63">
        <f t="shared" si="5"/>
        <v>14170.18806818182</v>
      </c>
    </row>
    <row r="13" spans="1:19">
      <c r="A13" s="35"/>
      <c r="B13" s="74" t="s">
        <v>0</v>
      </c>
      <c r="C13" s="65">
        <f>100-C12</f>
        <v>80</v>
      </c>
      <c r="D13" s="81">
        <f>$C13/100*D14</f>
        <v>360</v>
      </c>
      <c r="E13" s="81">
        <f>IF(D13=0,0,F13/D13)</f>
        <v>1.2722222222222221</v>
      </c>
      <c r="F13" s="65">
        <f>$C13/100*F14</f>
        <v>458</v>
      </c>
      <c r="G13" s="65">
        <f>$C13/100*G14</f>
        <v>964.23998641967773</v>
      </c>
      <c r="H13" s="65">
        <f>$C13/100*H14</f>
        <v>574.4</v>
      </c>
      <c r="I13" s="81">
        <f>$C13/100*I14</f>
        <v>26.921454545454544</v>
      </c>
      <c r="J13" s="81">
        <f t="shared" ref="J13" si="18">$C13/100*J14</f>
        <v>11.495454545454548</v>
      </c>
      <c r="K13" s="81">
        <f t="shared" ref="K13" si="19">$C13/100*K14</f>
        <v>5.7477272727272739</v>
      </c>
      <c r="L13" s="81">
        <f t="shared" ref="L13" si="20">$C13/100*L14</f>
        <v>14.369318181818185</v>
      </c>
      <c r="M13" s="81">
        <f t="shared" ref="M13" si="21">$C13/100*M14</f>
        <v>14.369318181818185</v>
      </c>
      <c r="N13" s="65">
        <f>$C13/100*N14</f>
        <v>30959.672727272729</v>
      </c>
      <c r="O13" s="65">
        <f t="shared" ref="O13" si="22">$C13/100*O14</f>
        <v>3448.636363636364</v>
      </c>
      <c r="P13" s="65">
        <f t="shared" ref="P13" si="23">$C13/100*P14</f>
        <v>5747.7272727272739</v>
      </c>
      <c r="Q13" s="65">
        <f t="shared" ref="Q13" si="24">$C13/100*Q14</f>
        <v>12213.920454545456</v>
      </c>
      <c r="R13" s="65">
        <f t="shared" ref="R13" si="25">$C13/100*R14</f>
        <v>4310.795454545455</v>
      </c>
      <c r="S13" s="65">
        <f t="shared" si="5"/>
        <v>56680.752272727281</v>
      </c>
    </row>
    <row r="14" spans="1:19">
      <c r="A14" s="7"/>
      <c r="B14" s="75" t="s">
        <v>3</v>
      </c>
      <c r="C14" s="66"/>
      <c r="D14" s="82">
        <v>450</v>
      </c>
      <c r="E14" s="82"/>
      <c r="F14" s="66">
        <v>572.5</v>
      </c>
      <c r="G14" s="66">
        <v>1205.2999830245972</v>
      </c>
      <c r="H14" s="66">
        <v>718</v>
      </c>
      <c r="I14" s="82">
        <v>33.651818181818179</v>
      </c>
      <c r="J14" s="82">
        <v>14.369318181818183</v>
      </c>
      <c r="K14" s="82">
        <v>7.1846590909090917</v>
      </c>
      <c r="L14" s="82">
        <v>17.96164772727273</v>
      </c>
      <c r="M14" s="82">
        <v>17.96164772727273</v>
      </c>
      <c r="N14" s="66">
        <v>38699.590909090912</v>
      </c>
      <c r="O14" s="66">
        <v>4310.795454545455</v>
      </c>
      <c r="P14" s="66">
        <v>7184.6590909090919</v>
      </c>
      <c r="Q14" s="66">
        <v>15267.40056818182</v>
      </c>
      <c r="R14" s="66">
        <v>5388.4943181818189</v>
      </c>
      <c r="S14" s="66">
        <f t="shared" si="5"/>
        <v>70850.940340909103</v>
      </c>
    </row>
    <row r="15" spans="1:19">
      <c r="A15" s="18" t="s">
        <v>14</v>
      </c>
      <c r="B15" s="73" t="s">
        <v>1</v>
      </c>
      <c r="C15" s="63">
        <v>0</v>
      </c>
      <c r="D15" s="80">
        <f>$C15/100*D17</f>
        <v>0</v>
      </c>
      <c r="E15" s="80">
        <f>IF(D15=0,0,F15/D15)</f>
        <v>0</v>
      </c>
      <c r="F15" s="63">
        <f>$C15/100*F17</f>
        <v>0</v>
      </c>
      <c r="G15" s="63">
        <f>$C15/100*G17</f>
        <v>0</v>
      </c>
      <c r="H15" s="63">
        <f>$C15/100*H17</f>
        <v>0</v>
      </c>
      <c r="I15" s="80">
        <f>$C15/100*I17</f>
        <v>0</v>
      </c>
      <c r="J15" s="80">
        <f t="shared" ref="J15:M15" si="26">$C15/100*J17</f>
        <v>0</v>
      </c>
      <c r="K15" s="80">
        <f t="shared" si="26"/>
        <v>0</v>
      </c>
      <c r="L15" s="80">
        <f t="shared" si="26"/>
        <v>0</v>
      </c>
      <c r="M15" s="80">
        <f t="shared" si="26"/>
        <v>0</v>
      </c>
      <c r="N15" s="63">
        <f>$C15/100*N17</f>
        <v>0</v>
      </c>
      <c r="O15" s="63">
        <f t="shared" ref="O15:R15" si="27">$C15/100*O17</f>
        <v>0</v>
      </c>
      <c r="P15" s="63">
        <f t="shared" si="27"/>
        <v>0</v>
      </c>
      <c r="Q15" s="63">
        <f t="shared" si="27"/>
        <v>0</v>
      </c>
      <c r="R15" s="63">
        <f t="shared" si="27"/>
        <v>0</v>
      </c>
      <c r="S15" s="63">
        <f t="shared" si="5"/>
        <v>0</v>
      </c>
    </row>
    <row r="16" spans="1:19">
      <c r="A16" s="35"/>
      <c r="B16" s="74" t="s">
        <v>0</v>
      </c>
      <c r="C16" s="65">
        <f>100-C15</f>
        <v>100</v>
      </c>
      <c r="D16" s="81">
        <f>$C16/100*D17</f>
        <v>570</v>
      </c>
      <c r="E16" s="81">
        <f>IF(D16=0,0,F16/D16)</f>
        <v>1.7982456140350878</v>
      </c>
      <c r="F16" s="65">
        <f>$C16/100*F17</f>
        <v>1025</v>
      </c>
      <c r="G16" s="65">
        <f>$C16/100*G17</f>
        <v>3167.2999966144562</v>
      </c>
      <c r="H16" s="65">
        <f>$C16/100*H17</f>
        <v>1472</v>
      </c>
      <c r="I16" s="81">
        <f>$C16/100*I17</f>
        <v>0</v>
      </c>
      <c r="J16" s="81">
        <f t="shared" ref="J16" si="28">$C16/100*J17</f>
        <v>29.432272727272732</v>
      </c>
      <c r="K16" s="81">
        <f t="shared" ref="K16" si="29">$C16/100*K17</f>
        <v>14.716136363636366</v>
      </c>
      <c r="L16" s="81">
        <f t="shared" ref="L16" si="30">$C16/100*L17</f>
        <v>36.790340909090915</v>
      </c>
      <c r="M16" s="81">
        <f t="shared" ref="M16" si="31">$C16/100*M17</f>
        <v>36.790340909090915</v>
      </c>
      <c r="N16" s="65">
        <f>$C16/100*N17</f>
        <v>0</v>
      </c>
      <c r="O16" s="65">
        <f t="shared" ref="O16" si="32">$C16/100*O17</f>
        <v>8829.6818181818198</v>
      </c>
      <c r="P16" s="65">
        <f t="shared" ref="P16" si="33">$C16/100*P17</f>
        <v>14716.136363636366</v>
      </c>
      <c r="Q16" s="65">
        <f t="shared" ref="Q16" si="34">$C16/100*Q17</f>
        <v>31271.789772727279</v>
      </c>
      <c r="R16" s="65">
        <f t="shared" ref="R16" si="35">$C16/100*R17</f>
        <v>11037.102272727274</v>
      </c>
      <c r="S16" s="65">
        <f t="shared" si="5"/>
        <v>65854.710227272735</v>
      </c>
    </row>
    <row r="17" spans="1:19">
      <c r="A17" s="7"/>
      <c r="B17" s="75" t="s">
        <v>3</v>
      </c>
      <c r="C17" s="66"/>
      <c r="D17" s="82">
        <v>570</v>
      </c>
      <c r="E17" s="82"/>
      <c r="F17" s="66">
        <v>1025</v>
      </c>
      <c r="G17" s="66">
        <v>3167.2999966144562</v>
      </c>
      <c r="H17" s="66">
        <v>1472</v>
      </c>
      <c r="I17" s="82">
        <v>0</v>
      </c>
      <c r="J17" s="82">
        <v>29.432272727272732</v>
      </c>
      <c r="K17" s="82">
        <v>14.716136363636366</v>
      </c>
      <c r="L17" s="82">
        <v>36.790340909090915</v>
      </c>
      <c r="M17" s="82">
        <v>36.790340909090915</v>
      </c>
      <c r="N17" s="66">
        <v>0</v>
      </c>
      <c r="O17" s="66">
        <v>8829.6818181818198</v>
      </c>
      <c r="P17" s="66">
        <v>14716.136363636366</v>
      </c>
      <c r="Q17" s="66">
        <v>31271.789772727279</v>
      </c>
      <c r="R17" s="66">
        <v>11037.102272727274</v>
      </c>
      <c r="S17" s="66">
        <f t="shared" si="5"/>
        <v>65854.710227272735</v>
      </c>
    </row>
    <row r="18" spans="1:19">
      <c r="A18" s="18" t="s">
        <v>13</v>
      </c>
      <c r="B18" s="73" t="s">
        <v>1</v>
      </c>
      <c r="C18" s="63">
        <v>0</v>
      </c>
      <c r="D18" s="80">
        <f>$C18/100*D20</f>
        <v>0</v>
      </c>
      <c r="E18" s="80">
        <f>IF(D18=0,0,F18/D18)</f>
        <v>0</v>
      </c>
      <c r="F18" s="63">
        <f>$C18/100*F20</f>
        <v>0</v>
      </c>
      <c r="G18" s="63">
        <f>$C18/100*G20</f>
        <v>0</v>
      </c>
      <c r="H18" s="63">
        <f>$C18/100*H20</f>
        <v>0</v>
      </c>
      <c r="I18" s="80">
        <f>$C18/100*I20</f>
        <v>0</v>
      </c>
      <c r="J18" s="80">
        <f t="shared" ref="J18:M18" si="36">$C18/100*J20</f>
        <v>0</v>
      </c>
      <c r="K18" s="80">
        <f t="shared" si="36"/>
        <v>0</v>
      </c>
      <c r="L18" s="80">
        <f t="shared" si="36"/>
        <v>0</v>
      </c>
      <c r="M18" s="80">
        <f t="shared" si="36"/>
        <v>0</v>
      </c>
      <c r="N18" s="63">
        <f>$C18/100*N20</f>
        <v>0</v>
      </c>
      <c r="O18" s="63">
        <f t="shared" ref="O18:R18" si="37">$C18/100*O20</f>
        <v>0</v>
      </c>
      <c r="P18" s="63">
        <f t="shared" si="37"/>
        <v>0</v>
      </c>
      <c r="Q18" s="63">
        <f t="shared" si="37"/>
        <v>0</v>
      </c>
      <c r="R18" s="63">
        <f t="shared" si="37"/>
        <v>0</v>
      </c>
      <c r="S18" s="63">
        <f t="shared" si="5"/>
        <v>0</v>
      </c>
    </row>
    <row r="19" spans="1:19">
      <c r="A19" s="35"/>
      <c r="B19" s="74" t="s">
        <v>0</v>
      </c>
      <c r="C19" s="65">
        <f>100-C18</f>
        <v>100</v>
      </c>
      <c r="D19" s="81">
        <f>$C19/100*D20</f>
        <v>400</v>
      </c>
      <c r="E19" s="81">
        <f>IF(D19=0,0,F19/D19)</f>
        <v>1.25</v>
      </c>
      <c r="F19" s="65">
        <f>$C19/100*F20</f>
        <v>500</v>
      </c>
      <c r="G19" s="65">
        <f>$C19/100*G20</f>
        <v>1559.4999849796295</v>
      </c>
      <c r="H19" s="65">
        <f>$C19/100*H20</f>
        <v>670</v>
      </c>
      <c r="I19" s="81">
        <f>$C19/100*I20</f>
        <v>0</v>
      </c>
      <c r="J19" s="81">
        <f t="shared" ref="J19" si="38">$C19/100*J20</f>
        <v>13.39818181818182</v>
      </c>
      <c r="K19" s="81">
        <f t="shared" ref="K19" si="39">$C19/100*K20</f>
        <v>6.6990909090909101</v>
      </c>
      <c r="L19" s="81">
        <f t="shared" ref="L19" si="40">$C19/100*L20</f>
        <v>16.747727272727275</v>
      </c>
      <c r="M19" s="81">
        <f t="shared" ref="M19" si="41">$C19/100*M20</f>
        <v>16.747727272727275</v>
      </c>
      <c r="N19" s="65">
        <f>$C19/100*N20</f>
        <v>0</v>
      </c>
      <c r="O19" s="65">
        <f t="shared" ref="O19" si="42">$C19/100*O20</f>
        <v>4019.454545454546</v>
      </c>
      <c r="P19" s="65">
        <f t="shared" ref="P19" si="43">$C19/100*P20</f>
        <v>6699.0909090909099</v>
      </c>
      <c r="Q19" s="65">
        <f t="shared" ref="Q19" si="44">$C19/100*Q20</f>
        <v>14235.568181818184</v>
      </c>
      <c r="R19" s="65">
        <f t="shared" ref="R19" si="45">$C19/100*R20</f>
        <v>5024.318181818182</v>
      </c>
      <c r="S19" s="65">
        <f t="shared" si="5"/>
        <v>29978.431818181823</v>
      </c>
    </row>
    <row r="20" spans="1:19">
      <c r="A20" s="7"/>
      <c r="B20" s="75" t="s">
        <v>3</v>
      </c>
      <c r="C20" s="66"/>
      <c r="D20" s="82">
        <v>400</v>
      </c>
      <c r="E20" s="82"/>
      <c r="F20" s="66">
        <v>500</v>
      </c>
      <c r="G20" s="66">
        <v>1559.4999849796295</v>
      </c>
      <c r="H20" s="66">
        <v>670</v>
      </c>
      <c r="I20" s="82">
        <v>0</v>
      </c>
      <c r="J20" s="82">
        <v>13.39818181818182</v>
      </c>
      <c r="K20" s="82">
        <v>6.6990909090909101</v>
      </c>
      <c r="L20" s="82">
        <v>16.747727272727275</v>
      </c>
      <c r="M20" s="82">
        <v>16.747727272727275</v>
      </c>
      <c r="N20" s="66">
        <v>0</v>
      </c>
      <c r="O20" s="66">
        <v>4019.454545454546</v>
      </c>
      <c r="P20" s="66">
        <v>6699.0909090909099</v>
      </c>
      <c r="Q20" s="66">
        <v>14235.568181818184</v>
      </c>
      <c r="R20" s="66">
        <v>5024.318181818182</v>
      </c>
      <c r="S20" s="66">
        <f t="shared" si="5"/>
        <v>29978.431818181823</v>
      </c>
    </row>
    <row r="21" spans="1:19">
      <c r="A21" s="18" t="s">
        <v>13</v>
      </c>
      <c r="B21" s="73" t="s">
        <v>1</v>
      </c>
      <c r="C21" s="63">
        <v>45</v>
      </c>
      <c r="D21" s="80">
        <f>$C21/100*D23</f>
        <v>157.5</v>
      </c>
      <c r="E21" s="80">
        <f>IF(D21=0,0,F21/D21)</f>
        <v>1.0714285714285714</v>
      </c>
      <c r="F21" s="63">
        <f>$C21/100*F23</f>
        <v>168.75</v>
      </c>
      <c r="G21" s="63">
        <f>$C21/100*G23</f>
        <v>694.80001330375671</v>
      </c>
      <c r="H21" s="63">
        <f>$C21/100*H23</f>
        <v>171</v>
      </c>
      <c r="I21" s="80">
        <f>$C21/100*I23</f>
        <v>0</v>
      </c>
      <c r="J21" s="80">
        <f t="shared" ref="J21:M21" si="46">$C21/100*J23</f>
        <v>3.4171363636363639</v>
      </c>
      <c r="K21" s="80">
        <f t="shared" si="46"/>
        <v>1.7085681818181819</v>
      </c>
      <c r="L21" s="80">
        <f t="shared" si="46"/>
        <v>4.2714204545454546</v>
      </c>
      <c r="M21" s="80">
        <f t="shared" si="46"/>
        <v>4.2714204545454546</v>
      </c>
      <c r="N21" s="63">
        <f>$C21/100*N23</f>
        <v>0</v>
      </c>
      <c r="O21" s="63">
        <f t="shared" ref="O21:R21" si="47">$C21/100*O23</f>
        <v>1025.1409090909092</v>
      </c>
      <c r="P21" s="63">
        <f t="shared" si="47"/>
        <v>1708.568181818182</v>
      </c>
      <c r="Q21" s="63">
        <f t="shared" si="47"/>
        <v>3630.7073863636365</v>
      </c>
      <c r="R21" s="63">
        <f t="shared" si="47"/>
        <v>1281.4261363636365</v>
      </c>
      <c r="S21" s="63">
        <f t="shared" si="5"/>
        <v>7645.8426136363632</v>
      </c>
    </row>
    <row r="22" spans="1:19">
      <c r="A22" s="35"/>
      <c r="B22" s="74" t="s">
        <v>0</v>
      </c>
      <c r="C22" s="65">
        <f>100-C21</f>
        <v>55</v>
      </c>
      <c r="D22" s="81">
        <f>$C22/100*D23</f>
        <v>192.50000000000003</v>
      </c>
      <c r="E22" s="81">
        <f>IF(D22=0,0,F22/D22)</f>
        <v>1.0714285714285714</v>
      </c>
      <c r="F22" s="65">
        <f>$C22/100*F23</f>
        <v>206.25000000000003</v>
      </c>
      <c r="G22" s="65">
        <f>$C22/100*G23</f>
        <v>849.20001626014721</v>
      </c>
      <c r="H22" s="65">
        <f>$C22/100*H23</f>
        <v>209.00000000000003</v>
      </c>
      <c r="I22" s="81">
        <f>$C22/100*I23</f>
        <v>0</v>
      </c>
      <c r="J22" s="81">
        <f t="shared" ref="J22" si="48">$C22/100*J23</f>
        <v>4.1765000000000008</v>
      </c>
      <c r="K22" s="81">
        <f t="shared" ref="K22" si="49">$C22/100*K23</f>
        <v>2.0882500000000004</v>
      </c>
      <c r="L22" s="81">
        <f t="shared" ref="L22" si="50">$C22/100*L23</f>
        <v>5.2206250000000001</v>
      </c>
      <c r="M22" s="81">
        <f t="shared" ref="M22" si="51">$C22/100*M23</f>
        <v>5.2206250000000001</v>
      </c>
      <c r="N22" s="65">
        <f>$C22/100*N23</f>
        <v>0</v>
      </c>
      <c r="O22" s="65">
        <f t="shared" ref="O22" si="52">$C22/100*O23</f>
        <v>1252.95</v>
      </c>
      <c r="P22" s="65">
        <f t="shared" ref="P22" si="53">$C22/100*P23</f>
        <v>2088.2500000000005</v>
      </c>
      <c r="Q22" s="65">
        <f t="shared" ref="Q22" si="54">$C22/100*Q23</f>
        <v>4437.53125</v>
      </c>
      <c r="R22" s="65">
        <f t="shared" ref="R22" si="55">$C22/100*R23</f>
        <v>1566.1875000000002</v>
      </c>
      <c r="S22" s="65">
        <f t="shared" si="5"/>
        <v>9344.9187500000007</v>
      </c>
    </row>
    <row r="23" spans="1:19">
      <c r="A23" s="7"/>
      <c r="B23" s="75" t="s">
        <v>3</v>
      </c>
      <c r="C23" s="66"/>
      <c r="D23" s="82">
        <v>350</v>
      </c>
      <c r="E23" s="82"/>
      <c r="F23" s="66">
        <v>375</v>
      </c>
      <c r="G23" s="66">
        <v>1544.0000295639038</v>
      </c>
      <c r="H23" s="66">
        <v>380</v>
      </c>
      <c r="I23" s="82">
        <v>0</v>
      </c>
      <c r="J23" s="82">
        <v>7.5936363636363637</v>
      </c>
      <c r="K23" s="82">
        <v>3.7968181818181819</v>
      </c>
      <c r="L23" s="82">
        <v>9.4920454545454547</v>
      </c>
      <c r="M23" s="82">
        <v>9.4920454545454547</v>
      </c>
      <c r="N23" s="66">
        <v>0</v>
      </c>
      <c r="O23" s="66">
        <v>2278.090909090909</v>
      </c>
      <c r="P23" s="66">
        <v>3796.818181818182</v>
      </c>
      <c r="Q23" s="66">
        <v>8068.238636363636</v>
      </c>
      <c r="R23" s="66">
        <v>2847.6136363636365</v>
      </c>
      <c r="S23" s="66">
        <f t="shared" si="5"/>
        <v>16990.761363636364</v>
      </c>
    </row>
    <row r="24" spans="1:19">
      <c r="A24" s="18" t="s">
        <v>12</v>
      </c>
      <c r="B24" s="73" t="s">
        <v>1</v>
      </c>
      <c r="C24" s="63">
        <v>30</v>
      </c>
      <c r="D24" s="80">
        <f>$C24/100*D26</f>
        <v>108</v>
      </c>
      <c r="E24" s="80">
        <f>IF(D24=0,0,F24/D24)</f>
        <v>1.625</v>
      </c>
      <c r="F24" s="63">
        <f>$C24/100*F26</f>
        <v>175.5</v>
      </c>
      <c r="G24" s="63">
        <f>$C24/100*G26</f>
        <v>344.85000336170197</v>
      </c>
      <c r="H24" s="63">
        <f>$C24/100*H26</f>
        <v>216.29999999999998</v>
      </c>
      <c r="I24" s="80">
        <f>$C24/100*I26</f>
        <v>5.8408636363636361</v>
      </c>
      <c r="J24" s="80">
        <f t="shared" ref="J24:M24" si="56">$C24/100*J26</f>
        <v>4.3266818181818181</v>
      </c>
      <c r="K24" s="80">
        <f t="shared" si="56"/>
        <v>2.163340909090909</v>
      </c>
      <c r="L24" s="80">
        <f t="shared" si="56"/>
        <v>5.4083522727272726</v>
      </c>
      <c r="M24" s="80">
        <f t="shared" si="56"/>
        <v>5.4083522727272726</v>
      </c>
      <c r="N24" s="63">
        <f>$C24/100*N26</f>
        <v>8001.9831818181819</v>
      </c>
      <c r="O24" s="63">
        <f t="shared" ref="O24:R24" si="57">$C24/100*O26</f>
        <v>1298.0045454545455</v>
      </c>
      <c r="P24" s="63">
        <f t="shared" si="57"/>
        <v>2163.340909090909</v>
      </c>
      <c r="Q24" s="63">
        <f t="shared" si="57"/>
        <v>4597.0994318181811</v>
      </c>
      <c r="R24" s="63">
        <f t="shared" si="57"/>
        <v>1622.5056818181818</v>
      </c>
      <c r="S24" s="63">
        <f t="shared" si="5"/>
        <v>17682.933749999997</v>
      </c>
    </row>
    <row r="25" spans="1:19">
      <c r="A25" s="35"/>
      <c r="B25" s="74" t="s">
        <v>0</v>
      </c>
      <c r="C25" s="65">
        <f>100-C24</f>
        <v>70</v>
      </c>
      <c r="D25" s="81">
        <f>$C25/100*D26</f>
        <v>251.99999999999997</v>
      </c>
      <c r="E25" s="81">
        <f>IF(D25=0,0,F25/D25)</f>
        <v>1.6250000000000002</v>
      </c>
      <c r="F25" s="65">
        <f>$C25/100*F26</f>
        <v>409.5</v>
      </c>
      <c r="G25" s="65">
        <f>$C25/100*G26</f>
        <v>804.65000784397125</v>
      </c>
      <c r="H25" s="65">
        <f>$C25/100*H26</f>
        <v>504.7</v>
      </c>
      <c r="I25" s="81">
        <f>$C25/100*I26</f>
        <v>13.628681818181818</v>
      </c>
      <c r="J25" s="81">
        <f t="shared" ref="J25" si="58">$C25/100*J26</f>
        <v>10.095590909090909</v>
      </c>
      <c r="K25" s="81">
        <f t="shared" ref="K25" si="59">$C25/100*K26</f>
        <v>5.0477954545454544</v>
      </c>
      <c r="L25" s="81">
        <f t="shared" ref="L25" si="60">$C25/100*L26</f>
        <v>12.619488636363636</v>
      </c>
      <c r="M25" s="81">
        <f t="shared" ref="M25" si="61">$C25/100*M26</f>
        <v>12.619488636363636</v>
      </c>
      <c r="N25" s="65">
        <f>$C25/100*N26</f>
        <v>18671.29409090909</v>
      </c>
      <c r="O25" s="65">
        <f t="shared" ref="O25" si="62">$C25/100*O26</f>
        <v>3028.6772727272723</v>
      </c>
      <c r="P25" s="65">
        <f t="shared" ref="P25" si="63">$C25/100*P26</f>
        <v>5047.795454545454</v>
      </c>
      <c r="Q25" s="65">
        <f t="shared" ref="Q25" si="64">$C25/100*Q26</f>
        <v>10726.56534090909</v>
      </c>
      <c r="R25" s="65">
        <f t="shared" ref="R25" si="65">$C25/100*R26</f>
        <v>3785.846590909091</v>
      </c>
      <c r="S25" s="65">
        <f t="shared" si="5"/>
        <v>41260.178749999992</v>
      </c>
    </row>
    <row r="26" spans="1:19">
      <c r="A26" s="7"/>
      <c r="B26" s="75" t="s">
        <v>3</v>
      </c>
      <c r="C26" s="66"/>
      <c r="D26" s="82">
        <v>360</v>
      </c>
      <c r="E26" s="82"/>
      <c r="F26" s="66">
        <v>585</v>
      </c>
      <c r="G26" s="66">
        <v>1149.5000112056732</v>
      </c>
      <c r="H26" s="66">
        <v>721</v>
      </c>
      <c r="I26" s="82">
        <v>19.469545454545454</v>
      </c>
      <c r="J26" s="82">
        <v>14.422272727272727</v>
      </c>
      <c r="K26" s="82">
        <v>7.2111363636363635</v>
      </c>
      <c r="L26" s="82">
        <v>18.027840909090909</v>
      </c>
      <c r="M26" s="82">
        <v>18.027840909090909</v>
      </c>
      <c r="N26" s="66">
        <v>26673.277272727275</v>
      </c>
      <c r="O26" s="66">
        <v>4326.681818181818</v>
      </c>
      <c r="P26" s="66">
        <v>7211.1363636363631</v>
      </c>
      <c r="Q26" s="66">
        <v>15323.664772727272</v>
      </c>
      <c r="R26" s="66">
        <v>5408.352272727273</v>
      </c>
      <c r="S26" s="66">
        <f t="shared" si="5"/>
        <v>58943.112499999996</v>
      </c>
    </row>
    <row r="27" spans="1:19">
      <c r="A27" s="18" t="s">
        <v>11</v>
      </c>
      <c r="B27" s="73" t="s">
        <v>1</v>
      </c>
      <c r="C27" s="63">
        <v>55</v>
      </c>
      <c r="D27" s="80">
        <f>$C27/100*D29</f>
        <v>305.25</v>
      </c>
      <c r="E27" s="80">
        <f>IF(D27=0,0,F27/D27)</f>
        <v>4.333333333333333</v>
      </c>
      <c r="F27" s="63">
        <f>$C27/100*F29</f>
        <v>1322.75</v>
      </c>
      <c r="G27" s="63">
        <f>$C27/100*G29</f>
        <v>4652.7800238132477</v>
      </c>
      <c r="H27" s="63">
        <f>$C27/100*H29</f>
        <v>1449.2500000000002</v>
      </c>
      <c r="I27" s="80">
        <f>$C27/100*I29</f>
        <v>134.48475000000002</v>
      </c>
      <c r="J27" s="80">
        <f t="shared" ref="J27:M27" si="66">$C27/100*J29</f>
        <v>28.988000000000007</v>
      </c>
      <c r="K27" s="80">
        <f t="shared" si="66"/>
        <v>14.494000000000003</v>
      </c>
      <c r="L27" s="80">
        <f t="shared" si="66"/>
        <v>36.235000000000007</v>
      </c>
      <c r="M27" s="80">
        <f t="shared" si="66"/>
        <v>36.235000000000007</v>
      </c>
      <c r="N27" s="63">
        <f>$C27/100*N29</f>
        <v>220554.99000000002</v>
      </c>
      <c r="O27" s="63">
        <f t="shared" ref="O27:R27" si="67">$C27/100*O29</f>
        <v>8696.4000000000015</v>
      </c>
      <c r="P27" s="63">
        <f t="shared" si="67"/>
        <v>14494.000000000004</v>
      </c>
      <c r="Q27" s="63">
        <f t="shared" si="67"/>
        <v>30799.750000000007</v>
      </c>
      <c r="R27" s="63">
        <f t="shared" si="67"/>
        <v>10870.500000000002</v>
      </c>
      <c r="S27" s="63">
        <f t="shared" si="5"/>
        <v>285415.64</v>
      </c>
    </row>
    <row r="28" spans="1:19">
      <c r="A28" s="35"/>
      <c r="B28" s="74" t="s">
        <v>0</v>
      </c>
      <c r="C28" s="65">
        <f>100-C27</f>
        <v>45</v>
      </c>
      <c r="D28" s="81">
        <f>$C28/100*D29</f>
        <v>249.75</v>
      </c>
      <c r="E28" s="81">
        <f>IF(D28=0,0,F28/D28)</f>
        <v>4.333333333333333</v>
      </c>
      <c r="F28" s="65">
        <f>$C28/100*F29</f>
        <v>1082.25</v>
      </c>
      <c r="G28" s="65">
        <f>$C28/100*G29</f>
        <v>3806.8200194835663</v>
      </c>
      <c r="H28" s="65">
        <f>$C28/100*H29</f>
        <v>1185.75</v>
      </c>
      <c r="I28" s="81">
        <f>$C28/100*I29</f>
        <v>110.03297727272728</v>
      </c>
      <c r="J28" s="81">
        <f t="shared" ref="J28" si="68">$C28/100*J29</f>
        <v>23.717454545454547</v>
      </c>
      <c r="K28" s="81">
        <f t="shared" ref="K28" si="69">$C28/100*K29</f>
        <v>11.858727272727274</v>
      </c>
      <c r="L28" s="81">
        <f t="shared" ref="L28" si="70">$C28/100*L29</f>
        <v>29.646818181818187</v>
      </c>
      <c r="M28" s="81">
        <f t="shared" ref="M28" si="71">$C28/100*M29</f>
        <v>29.646818181818187</v>
      </c>
      <c r="N28" s="65">
        <f>$C28/100*N29</f>
        <v>180454.08272727273</v>
      </c>
      <c r="O28" s="65">
        <f t="shared" ref="O28" si="72">$C28/100*O29</f>
        <v>7115.2363636363643</v>
      </c>
      <c r="P28" s="65">
        <f t="shared" ref="P28" si="73">$C28/100*P29</f>
        <v>11858.727272727274</v>
      </c>
      <c r="Q28" s="65">
        <f t="shared" ref="Q28" si="74">$C28/100*Q29</f>
        <v>25199.79545454546</v>
      </c>
      <c r="R28" s="65">
        <f t="shared" ref="R28" si="75">$C28/100*R29</f>
        <v>8894.0454545454559</v>
      </c>
      <c r="S28" s="65">
        <f t="shared" si="5"/>
        <v>233521.88727272727</v>
      </c>
    </row>
    <row r="29" spans="1:19">
      <c r="A29" s="7"/>
      <c r="B29" s="75" t="s">
        <v>3</v>
      </c>
      <c r="C29" s="66"/>
      <c r="D29" s="82">
        <v>555</v>
      </c>
      <c r="E29" s="82"/>
      <c r="F29" s="66">
        <v>2405</v>
      </c>
      <c r="G29" s="66">
        <v>8459.600043296814</v>
      </c>
      <c r="H29" s="66">
        <v>2635</v>
      </c>
      <c r="I29" s="82">
        <v>244.51772727272729</v>
      </c>
      <c r="J29" s="82">
        <v>52.70545454545455</v>
      </c>
      <c r="K29" s="82">
        <v>26.352727272727275</v>
      </c>
      <c r="L29" s="82">
        <v>65.88181818181819</v>
      </c>
      <c r="M29" s="82">
        <v>65.88181818181819</v>
      </c>
      <c r="N29" s="66">
        <v>401009.07272727275</v>
      </c>
      <c r="O29" s="66">
        <v>15811.636363636366</v>
      </c>
      <c r="P29" s="66">
        <v>26352.727272727276</v>
      </c>
      <c r="Q29" s="66">
        <v>55999.545454545463</v>
      </c>
      <c r="R29" s="66">
        <v>19764.545454545456</v>
      </c>
      <c r="S29" s="66">
        <f t="shared" si="5"/>
        <v>518937.52727272734</v>
      </c>
    </row>
    <row r="30" spans="1:19">
      <c r="A30" s="18" t="s">
        <v>9</v>
      </c>
      <c r="B30" s="73" t="s">
        <v>1</v>
      </c>
      <c r="C30" s="63">
        <v>35</v>
      </c>
      <c r="D30" s="80">
        <f>$C30/100*D32</f>
        <v>276.5</v>
      </c>
      <c r="E30" s="80">
        <f>IF(D30=0,0,F30/D30)</f>
        <v>2.3924050632911391</v>
      </c>
      <c r="F30" s="63">
        <f>$C30/100*F32</f>
        <v>661.5</v>
      </c>
      <c r="G30" s="63">
        <f>$C30/100*G32</f>
        <v>1382.6575179994106</v>
      </c>
      <c r="H30" s="63">
        <f>$C30/100*H32</f>
        <v>319.89999999999998</v>
      </c>
      <c r="I30" s="80">
        <f>$C30/100*I32</f>
        <v>10.360477272727273</v>
      </c>
      <c r="J30" s="80">
        <f t="shared" ref="J30:M30" si="76">$C30/100*J32</f>
        <v>6.4007045454545457</v>
      </c>
      <c r="K30" s="80">
        <f t="shared" si="76"/>
        <v>3.2003522727272729</v>
      </c>
      <c r="L30" s="80">
        <f t="shared" si="76"/>
        <v>8.000880681818181</v>
      </c>
      <c r="M30" s="80">
        <f t="shared" si="76"/>
        <v>8.000880681818181</v>
      </c>
      <c r="N30" s="63">
        <f>$C30/100*N32</f>
        <v>15437.111136363639</v>
      </c>
      <c r="O30" s="63">
        <f t="shared" ref="O30:R30" si="77">$C30/100*O32</f>
        <v>1920.2113636363636</v>
      </c>
      <c r="P30" s="63">
        <f t="shared" si="77"/>
        <v>3200.352272727273</v>
      </c>
      <c r="Q30" s="63">
        <f t="shared" si="77"/>
        <v>6800.748579545454</v>
      </c>
      <c r="R30" s="63">
        <f t="shared" si="77"/>
        <v>2400.2642045454545</v>
      </c>
      <c r="S30" s="63">
        <f t="shared" si="5"/>
        <v>29758.687556818186</v>
      </c>
    </row>
    <row r="31" spans="1:19">
      <c r="A31" s="35"/>
      <c r="B31" s="74" t="s">
        <v>0</v>
      </c>
      <c r="C31" s="65">
        <f>100-C30</f>
        <v>65</v>
      </c>
      <c r="D31" s="81">
        <f>$C31/100*D32</f>
        <v>513.5</v>
      </c>
      <c r="E31" s="81">
        <f>IF(D31=0,0,F31/D31)</f>
        <v>2.3924050632911391</v>
      </c>
      <c r="F31" s="65">
        <f>$C31/100*F32</f>
        <v>1228.5</v>
      </c>
      <c r="G31" s="65">
        <f>$C31/100*G32</f>
        <v>2567.7925334274769</v>
      </c>
      <c r="H31" s="65">
        <f>$C31/100*H32</f>
        <v>594.1</v>
      </c>
      <c r="I31" s="81">
        <f>$C31/100*I32</f>
        <v>19.240886363636367</v>
      </c>
      <c r="J31" s="81">
        <f t="shared" ref="J31" si="78">$C31/100*J32</f>
        <v>11.887022727272729</v>
      </c>
      <c r="K31" s="81">
        <f t="shared" ref="K31" si="79">$C31/100*K32</f>
        <v>5.9435113636363646</v>
      </c>
      <c r="L31" s="81">
        <f t="shared" ref="L31" si="80">$C31/100*L32</f>
        <v>14.85877840909091</v>
      </c>
      <c r="M31" s="81">
        <f t="shared" ref="M31" si="81">$C31/100*M32</f>
        <v>14.85877840909091</v>
      </c>
      <c r="N31" s="65">
        <f>$C31/100*N32</f>
        <v>28668.920681818188</v>
      </c>
      <c r="O31" s="65">
        <f t="shared" ref="O31" si="82">$C31/100*O32</f>
        <v>3566.1068181818182</v>
      </c>
      <c r="P31" s="65">
        <f t="shared" ref="P31" si="83">$C31/100*P32</f>
        <v>5943.5113636363649</v>
      </c>
      <c r="Q31" s="65">
        <f t="shared" ref="Q31" si="84">$C31/100*Q32</f>
        <v>12629.961647727274</v>
      </c>
      <c r="R31" s="65">
        <f t="shared" ref="R31" si="85">$C31/100*R32</f>
        <v>4457.633522727273</v>
      </c>
      <c r="S31" s="65">
        <f t="shared" si="5"/>
        <v>55266.134034090916</v>
      </c>
    </row>
    <row r="32" spans="1:19">
      <c r="A32" s="7"/>
      <c r="B32" s="75" t="s">
        <v>3</v>
      </c>
      <c r="C32" s="66"/>
      <c r="D32" s="82">
        <v>790</v>
      </c>
      <c r="E32" s="82"/>
      <c r="F32" s="66">
        <v>1890</v>
      </c>
      <c r="G32" s="66">
        <v>3950.4500514268875</v>
      </c>
      <c r="H32" s="66">
        <v>914</v>
      </c>
      <c r="I32" s="82">
        <v>29.60136363636364</v>
      </c>
      <c r="J32" s="82">
        <v>18.287727272727274</v>
      </c>
      <c r="K32" s="82">
        <v>9.143863636363637</v>
      </c>
      <c r="L32" s="82">
        <v>22.859659090909091</v>
      </c>
      <c r="M32" s="82">
        <v>22.859659090909091</v>
      </c>
      <c r="N32" s="66">
        <v>44106.031818181829</v>
      </c>
      <c r="O32" s="66">
        <v>5486.318181818182</v>
      </c>
      <c r="P32" s="66">
        <v>9143.8636363636379</v>
      </c>
      <c r="Q32" s="66">
        <v>19430.710227272728</v>
      </c>
      <c r="R32" s="66">
        <v>6857.897727272727</v>
      </c>
      <c r="S32" s="66">
        <f t="shared" si="5"/>
        <v>85024.821590909109</v>
      </c>
    </row>
    <row r="33" spans="1:19">
      <c r="A33" s="18" t="s">
        <v>7</v>
      </c>
      <c r="B33" s="73" t="s">
        <v>1</v>
      </c>
      <c r="C33" s="63">
        <v>45</v>
      </c>
      <c r="D33" s="80">
        <f>$C33/100*D35</f>
        <v>157.5</v>
      </c>
      <c r="E33" s="80">
        <f>IF(D33=0,0,F33/D33)</f>
        <v>1.4428571428571428</v>
      </c>
      <c r="F33" s="63">
        <f>$C33/100*F35</f>
        <v>227.25</v>
      </c>
      <c r="G33" s="63">
        <f>$C33/100*G35</f>
        <v>779.12999027967453</v>
      </c>
      <c r="H33" s="63">
        <f>$C33/100*H35</f>
        <v>292.05</v>
      </c>
      <c r="I33" s="80">
        <f>$C33/100*I35</f>
        <v>0</v>
      </c>
      <c r="J33" s="80">
        <f t="shared" ref="J33:M33" si="86">$C33/100*J35</f>
        <v>5.8416136363636362</v>
      </c>
      <c r="K33" s="80">
        <f t="shared" si="86"/>
        <v>2.9208068181818181</v>
      </c>
      <c r="L33" s="80">
        <f t="shared" si="86"/>
        <v>7.3020170454545452</v>
      </c>
      <c r="M33" s="80">
        <f t="shared" si="86"/>
        <v>7.3020170454545452</v>
      </c>
      <c r="N33" s="63">
        <f>$C33/100*N35</f>
        <v>0</v>
      </c>
      <c r="O33" s="63">
        <f t="shared" ref="O33:R33" si="87">$C33/100*O35</f>
        <v>1752.4840909090908</v>
      </c>
      <c r="P33" s="63">
        <f t="shared" si="87"/>
        <v>2920.806818181818</v>
      </c>
      <c r="Q33" s="63">
        <f t="shared" si="87"/>
        <v>6206.714488636364</v>
      </c>
      <c r="R33" s="63">
        <f t="shared" si="87"/>
        <v>2190.605113636364</v>
      </c>
      <c r="S33" s="63">
        <f t="shared" si="5"/>
        <v>13070.610511363637</v>
      </c>
    </row>
    <row r="34" spans="1:19">
      <c r="A34" s="35"/>
      <c r="B34" s="74" t="s">
        <v>0</v>
      </c>
      <c r="C34" s="65">
        <f>100-C33</f>
        <v>55</v>
      </c>
      <c r="D34" s="81">
        <f>$C34/100*D35</f>
        <v>192.50000000000003</v>
      </c>
      <c r="E34" s="81">
        <f>IF(D34=0,0,F34/D34)</f>
        <v>1.4428571428571426</v>
      </c>
      <c r="F34" s="65">
        <f>$C34/100*F35</f>
        <v>277.75</v>
      </c>
      <c r="G34" s="65">
        <f>$C34/100*G35</f>
        <v>952.26998811960232</v>
      </c>
      <c r="H34" s="65">
        <f>$C34/100*H35</f>
        <v>356.95000000000005</v>
      </c>
      <c r="I34" s="81">
        <f>$C34/100*I35</f>
        <v>0</v>
      </c>
      <c r="J34" s="81">
        <f t="shared" ref="J34" si="88">$C34/100*J35</f>
        <v>7.1397500000000003</v>
      </c>
      <c r="K34" s="81">
        <f t="shared" ref="K34" si="89">$C34/100*K35</f>
        <v>3.5698750000000001</v>
      </c>
      <c r="L34" s="81">
        <f t="shared" ref="L34" si="90">$C34/100*L35</f>
        <v>8.924687500000001</v>
      </c>
      <c r="M34" s="81">
        <f t="shared" ref="M34" si="91">$C34/100*M35</f>
        <v>8.924687500000001</v>
      </c>
      <c r="N34" s="65">
        <f>$C34/100*N35</f>
        <v>0</v>
      </c>
      <c r="O34" s="65">
        <f t="shared" ref="O34" si="92">$C34/100*O35</f>
        <v>2141.9250000000002</v>
      </c>
      <c r="P34" s="65">
        <f t="shared" ref="P34" si="93">$C34/100*P35</f>
        <v>3569.875</v>
      </c>
      <c r="Q34" s="65">
        <f t="shared" ref="Q34" si="94">$C34/100*Q35</f>
        <v>7585.9843750000009</v>
      </c>
      <c r="R34" s="65">
        <f t="shared" ref="R34" si="95">$C34/100*R35</f>
        <v>2677.4062500000005</v>
      </c>
      <c r="S34" s="65">
        <f t="shared" si="5"/>
        <v>15975.190625000001</v>
      </c>
    </row>
    <row r="35" spans="1:19">
      <c r="A35" s="7"/>
      <c r="B35" s="75" t="s">
        <v>3</v>
      </c>
      <c r="C35" s="66"/>
      <c r="D35" s="82">
        <v>350</v>
      </c>
      <c r="E35" s="82"/>
      <c r="F35" s="66">
        <v>505</v>
      </c>
      <c r="G35" s="66">
        <v>1731.3999783992767</v>
      </c>
      <c r="H35" s="66">
        <v>649</v>
      </c>
      <c r="I35" s="82">
        <v>0</v>
      </c>
      <c r="J35" s="82">
        <v>12.981363636363636</v>
      </c>
      <c r="K35" s="82">
        <v>6.4906818181818178</v>
      </c>
      <c r="L35" s="82">
        <v>16.226704545454545</v>
      </c>
      <c r="M35" s="82">
        <v>16.226704545454545</v>
      </c>
      <c r="N35" s="66">
        <v>0</v>
      </c>
      <c r="O35" s="66">
        <v>3894.4090909090905</v>
      </c>
      <c r="P35" s="66">
        <v>6490.681818181818</v>
      </c>
      <c r="Q35" s="66">
        <v>13792.698863636364</v>
      </c>
      <c r="R35" s="66">
        <v>4868.011363636364</v>
      </c>
      <c r="S35" s="66">
        <f t="shared" si="5"/>
        <v>29045.801136363636</v>
      </c>
    </row>
    <row r="36" spans="1:19">
      <c r="A36" s="18" t="s">
        <v>6</v>
      </c>
      <c r="B36" s="73" t="s">
        <v>1</v>
      </c>
      <c r="C36" s="63">
        <v>55</v>
      </c>
      <c r="D36" s="80">
        <f>$C36/100*D38</f>
        <v>198.00000000000003</v>
      </c>
      <c r="E36" s="80">
        <f>IF(D36=0,0,F36/D36)</f>
        <v>1.2083333333333333</v>
      </c>
      <c r="F36" s="63">
        <f>$C36/100*F38</f>
        <v>239.25000000000003</v>
      </c>
      <c r="G36" s="63">
        <f>$C36/100*G38</f>
        <v>1002.044981956482</v>
      </c>
      <c r="H36" s="63">
        <f>$C36/100*H38</f>
        <v>306.90000000000003</v>
      </c>
      <c r="I36" s="80">
        <f>$C36/100*I38</f>
        <v>0</v>
      </c>
      <c r="J36" s="80">
        <f t="shared" ref="J36:M36" si="96">$C36/100*J38</f>
        <v>6.1362500000000013</v>
      </c>
      <c r="K36" s="80">
        <f t="shared" si="96"/>
        <v>3.0681250000000007</v>
      </c>
      <c r="L36" s="80">
        <f t="shared" si="96"/>
        <v>7.6703125000000014</v>
      </c>
      <c r="M36" s="80">
        <f t="shared" si="96"/>
        <v>7.6703125000000014</v>
      </c>
      <c r="N36" s="63">
        <f>$C36/100*N38</f>
        <v>0</v>
      </c>
      <c r="O36" s="63">
        <f t="shared" ref="O36:R36" si="97">$C36/100*O38</f>
        <v>1840.8750000000005</v>
      </c>
      <c r="P36" s="63">
        <f t="shared" si="97"/>
        <v>3068.1250000000009</v>
      </c>
      <c r="Q36" s="63">
        <f t="shared" si="97"/>
        <v>6519.7656250000018</v>
      </c>
      <c r="R36" s="63">
        <f t="shared" si="97"/>
        <v>2301.0937500000005</v>
      </c>
      <c r="S36" s="63">
        <f t="shared" si="5"/>
        <v>13729.859375000004</v>
      </c>
    </row>
    <row r="37" spans="1:19">
      <c r="A37" s="35"/>
      <c r="B37" s="74" t="s">
        <v>0</v>
      </c>
      <c r="C37" s="65">
        <f>100-C36</f>
        <v>45</v>
      </c>
      <c r="D37" s="81">
        <f>$C37/100*D38</f>
        <v>162</v>
      </c>
      <c r="E37" s="81">
        <f>IF(D37=0,0,F37/D37)</f>
        <v>1.2083333333333333</v>
      </c>
      <c r="F37" s="65">
        <f>$C37/100*F38</f>
        <v>195.75</v>
      </c>
      <c r="G37" s="65">
        <f>$C37/100*G38</f>
        <v>819.85498523712158</v>
      </c>
      <c r="H37" s="65">
        <f>$C37/100*H38</f>
        <v>251.1</v>
      </c>
      <c r="I37" s="81">
        <f>$C37/100*I38</f>
        <v>0</v>
      </c>
      <c r="J37" s="81">
        <f t="shared" ref="J37" si="98">$C37/100*J38</f>
        <v>5.0205681818181827</v>
      </c>
      <c r="K37" s="81">
        <f t="shared" ref="K37" si="99">$C37/100*K38</f>
        <v>2.5102840909090913</v>
      </c>
      <c r="L37" s="81">
        <f t="shared" ref="L37" si="100">$C37/100*L38</f>
        <v>6.2757102272727279</v>
      </c>
      <c r="M37" s="81">
        <f t="shared" ref="M37" si="101">$C37/100*M38</f>
        <v>6.2757102272727279</v>
      </c>
      <c r="N37" s="65">
        <f>$C37/100*N38</f>
        <v>0</v>
      </c>
      <c r="O37" s="65">
        <f t="shared" ref="O37" si="102">$C37/100*O38</f>
        <v>1506.1704545454547</v>
      </c>
      <c r="P37" s="65">
        <f t="shared" ref="P37" si="103">$C37/100*P38</f>
        <v>2510.2840909090914</v>
      </c>
      <c r="Q37" s="65">
        <f t="shared" ref="Q37" si="104">$C37/100*Q38</f>
        <v>5334.3536931818189</v>
      </c>
      <c r="R37" s="65">
        <f t="shared" ref="R37" si="105">$C37/100*R38</f>
        <v>1882.7130681818185</v>
      </c>
      <c r="S37" s="65">
        <f t="shared" si="5"/>
        <v>11233.521306818182</v>
      </c>
    </row>
    <row r="38" spans="1:19">
      <c r="A38" s="7"/>
      <c r="B38" s="75" t="s">
        <v>3</v>
      </c>
      <c r="C38" s="66"/>
      <c r="D38" s="82">
        <v>360</v>
      </c>
      <c r="E38" s="82"/>
      <c r="F38" s="66">
        <v>435</v>
      </c>
      <c r="G38" s="66">
        <v>1821.8999671936035</v>
      </c>
      <c r="H38" s="66">
        <v>558</v>
      </c>
      <c r="I38" s="82">
        <v>0</v>
      </c>
      <c r="J38" s="82">
        <v>11.156818181818183</v>
      </c>
      <c r="K38" s="82">
        <v>5.5784090909090915</v>
      </c>
      <c r="L38" s="82">
        <v>13.946022727272728</v>
      </c>
      <c r="M38" s="82">
        <v>13.946022727272728</v>
      </c>
      <c r="N38" s="66">
        <v>0</v>
      </c>
      <c r="O38" s="66">
        <v>3347.045454545455</v>
      </c>
      <c r="P38" s="66">
        <v>5578.4090909090919</v>
      </c>
      <c r="Q38" s="66">
        <v>11854.11931818182</v>
      </c>
      <c r="R38" s="66">
        <v>4183.8068181818189</v>
      </c>
      <c r="S38" s="66">
        <f t="shared" si="5"/>
        <v>24963.380681818187</v>
      </c>
    </row>
    <row r="39" spans="1:19">
      <c r="A39" s="18" t="s">
        <v>5</v>
      </c>
      <c r="B39" s="73" t="s">
        <v>1</v>
      </c>
      <c r="C39" s="63">
        <v>45</v>
      </c>
      <c r="D39" s="80">
        <f>$C39/100*D41</f>
        <v>202.5</v>
      </c>
      <c r="E39" s="80">
        <f>IF(D39=0,0,F39/D39)</f>
        <v>3.3333333333333335</v>
      </c>
      <c r="F39" s="63">
        <f>$C39/100*F41</f>
        <v>675</v>
      </c>
      <c r="G39" s="63">
        <f>$C39/100*G41</f>
        <v>2677.2749626636505</v>
      </c>
      <c r="H39" s="63">
        <f>$C39/100*H41</f>
        <v>820.80000000000007</v>
      </c>
      <c r="I39" s="80">
        <f>$C39/100*I41</f>
        <v>0</v>
      </c>
      <c r="J39" s="80">
        <f t="shared" ref="J39:M39" si="106">$C39/100*J41</f>
        <v>16.418045454545457</v>
      </c>
      <c r="K39" s="80">
        <f t="shared" si="106"/>
        <v>8.2090227272727283</v>
      </c>
      <c r="L39" s="80">
        <f t="shared" si="106"/>
        <v>20.522556818181823</v>
      </c>
      <c r="M39" s="80">
        <f t="shared" si="106"/>
        <v>20.522556818181823</v>
      </c>
      <c r="N39" s="63">
        <f>$C39/100*N41</f>
        <v>0</v>
      </c>
      <c r="O39" s="63">
        <f t="shared" ref="O39:R39" si="107">$C39/100*O41</f>
        <v>4925.4136363636371</v>
      </c>
      <c r="P39" s="63">
        <f t="shared" si="107"/>
        <v>8209.0227272727298</v>
      </c>
      <c r="Q39" s="63">
        <f t="shared" si="107"/>
        <v>17444.173295454548</v>
      </c>
      <c r="R39" s="63">
        <f t="shared" si="107"/>
        <v>6156.7670454545469</v>
      </c>
      <c r="S39" s="63">
        <f t="shared" si="5"/>
        <v>36735.376704545459</v>
      </c>
    </row>
    <row r="40" spans="1:19">
      <c r="A40" s="35"/>
      <c r="B40" s="74" t="s">
        <v>0</v>
      </c>
      <c r="C40" s="65">
        <f>100-C39</f>
        <v>55</v>
      </c>
      <c r="D40" s="81">
        <f>$C40/100*D41</f>
        <v>247.50000000000003</v>
      </c>
      <c r="E40" s="81">
        <f>IF(D40=0,0,F40/D40)</f>
        <v>3.3333333333333335</v>
      </c>
      <c r="F40" s="65">
        <f>$C40/100*F41</f>
        <v>825.00000000000011</v>
      </c>
      <c r="G40" s="65">
        <f>$C40/100*G41</f>
        <v>3272.2249543666844</v>
      </c>
      <c r="H40" s="65">
        <f>$C40/100*H41</f>
        <v>1003.2</v>
      </c>
      <c r="I40" s="81">
        <f>$C40/100*I41</f>
        <v>0</v>
      </c>
      <c r="J40" s="81">
        <f t="shared" ref="J40" si="108">$C40/100*J41</f>
        <v>20.066500000000005</v>
      </c>
      <c r="K40" s="81">
        <f t="shared" ref="K40" si="109">$C40/100*K41</f>
        <v>10.033250000000002</v>
      </c>
      <c r="L40" s="81">
        <f t="shared" ref="L40" si="110">$C40/100*L41</f>
        <v>25.083125000000006</v>
      </c>
      <c r="M40" s="81">
        <f t="shared" ref="M40" si="111">$C40/100*M41</f>
        <v>25.083125000000006</v>
      </c>
      <c r="N40" s="65">
        <f>$C40/100*N41</f>
        <v>0</v>
      </c>
      <c r="O40" s="65">
        <f t="shared" ref="O40" si="112">$C40/100*O41</f>
        <v>6019.9500000000016</v>
      </c>
      <c r="P40" s="65">
        <f t="shared" ref="P40" si="113">$C40/100*P41</f>
        <v>10033.250000000004</v>
      </c>
      <c r="Q40" s="65">
        <f t="shared" ref="Q40" si="114">$C40/100*Q41</f>
        <v>21320.656250000004</v>
      </c>
      <c r="R40" s="65">
        <f t="shared" ref="R40" si="115">$C40/100*R41</f>
        <v>7524.9375000000018</v>
      </c>
      <c r="S40" s="65">
        <f t="shared" si="5"/>
        <v>44898.793750000012</v>
      </c>
    </row>
    <row r="41" spans="1:19">
      <c r="A41" s="7"/>
      <c r="B41" s="75" t="s">
        <v>3</v>
      </c>
      <c r="C41" s="66"/>
      <c r="D41" s="82">
        <v>450</v>
      </c>
      <c r="E41" s="82"/>
      <c r="F41" s="66">
        <v>1500</v>
      </c>
      <c r="G41" s="66">
        <v>5949.4999170303345</v>
      </c>
      <c r="H41" s="66">
        <v>1824</v>
      </c>
      <c r="I41" s="82">
        <v>0</v>
      </c>
      <c r="J41" s="82">
        <v>36.484545454545461</v>
      </c>
      <c r="K41" s="82">
        <v>18.242272727272731</v>
      </c>
      <c r="L41" s="82">
        <v>45.605681818181829</v>
      </c>
      <c r="M41" s="82">
        <v>45.605681818181829</v>
      </c>
      <c r="N41" s="66">
        <v>0</v>
      </c>
      <c r="O41" s="66">
        <v>10945.363636363638</v>
      </c>
      <c r="P41" s="66">
        <v>18242.272727272732</v>
      </c>
      <c r="Q41" s="66">
        <v>38764.829545454551</v>
      </c>
      <c r="R41" s="66">
        <v>13681.704545454548</v>
      </c>
      <c r="S41" s="66">
        <f t="shared" si="5"/>
        <v>81634.170454545456</v>
      </c>
    </row>
    <row r="42" spans="1:19">
      <c r="A42" s="18" t="s">
        <v>4</v>
      </c>
      <c r="B42" s="73" t="s">
        <v>1</v>
      </c>
      <c r="C42" s="63">
        <v>0</v>
      </c>
      <c r="D42" s="80">
        <f>$C42/100*D44</f>
        <v>0</v>
      </c>
      <c r="E42" s="80">
        <f>IF(D42=0,0,F42/D42)</f>
        <v>0</v>
      </c>
      <c r="F42" s="63">
        <f>$C42/100*F44</f>
        <v>0</v>
      </c>
      <c r="G42" s="63">
        <f>$C42/100*G44</f>
        <v>0</v>
      </c>
      <c r="H42" s="63">
        <f>$C42/100*H44</f>
        <v>0</v>
      </c>
      <c r="I42" s="80">
        <f>$C42/100*I44</f>
        <v>0</v>
      </c>
      <c r="J42" s="80">
        <f t="shared" ref="J42:M42" si="116">$C42/100*J44</f>
        <v>0</v>
      </c>
      <c r="K42" s="80">
        <f t="shared" si="116"/>
        <v>0</v>
      </c>
      <c r="L42" s="80">
        <f t="shared" si="116"/>
        <v>0</v>
      </c>
      <c r="M42" s="80">
        <f t="shared" si="116"/>
        <v>0</v>
      </c>
      <c r="N42" s="63">
        <f>$C42/100*N44</f>
        <v>0</v>
      </c>
      <c r="O42" s="63">
        <f t="shared" ref="O42:R42" si="117">$C42/100*O44</f>
        <v>0</v>
      </c>
      <c r="P42" s="63">
        <f t="shared" si="117"/>
        <v>0</v>
      </c>
      <c r="Q42" s="63">
        <f t="shared" si="117"/>
        <v>0</v>
      </c>
      <c r="R42" s="63">
        <f t="shared" si="117"/>
        <v>0</v>
      </c>
      <c r="S42" s="63">
        <f t="shared" si="5"/>
        <v>0</v>
      </c>
    </row>
    <row r="43" spans="1:19">
      <c r="A43" s="35"/>
      <c r="B43" s="74" t="s">
        <v>0</v>
      </c>
      <c r="C43" s="65">
        <f>100-C42</f>
        <v>100</v>
      </c>
      <c r="D43" s="81">
        <f>$C43/100*D44</f>
        <v>300</v>
      </c>
      <c r="E43" s="81">
        <f>IF(D43=0,0,F43/D43)</f>
        <v>1.25</v>
      </c>
      <c r="F43" s="65">
        <f>$C43/100*F44</f>
        <v>375</v>
      </c>
      <c r="G43" s="65">
        <f>$C43/100*G44</f>
        <v>1201.5000104904175</v>
      </c>
      <c r="H43" s="65">
        <f>$C43/100*H44</f>
        <v>442</v>
      </c>
      <c r="I43" s="81">
        <f>$C43/100*I44</f>
        <v>0</v>
      </c>
      <c r="J43" s="81">
        <f t="shared" ref="J43" si="118">$C43/100*J44</f>
        <v>8.8486363636363645</v>
      </c>
      <c r="K43" s="81">
        <f t="shared" ref="K43" si="119">$C43/100*K44</f>
        <v>4.4243181818181823</v>
      </c>
      <c r="L43" s="81">
        <f t="shared" ref="L43" si="120">$C43/100*L44</f>
        <v>11.060795454545456</v>
      </c>
      <c r="M43" s="81">
        <f t="shared" ref="M43" si="121">$C43/100*M44</f>
        <v>11.060795454545456</v>
      </c>
      <c r="N43" s="65">
        <f>$C43/100*N44</f>
        <v>0</v>
      </c>
      <c r="O43" s="65">
        <f t="shared" ref="O43" si="122">$C43/100*O44</f>
        <v>2654.5909090909095</v>
      </c>
      <c r="P43" s="65">
        <f t="shared" ref="P43" si="123">$C43/100*P44</f>
        <v>4424.318181818182</v>
      </c>
      <c r="Q43" s="65">
        <f t="shared" ref="Q43" si="124">$C43/100*Q44</f>
        <v>9401.6761363636379</v>
      </c>
      <c r="R43" s="65">
        <f t="shared" ref="R43" si="125">$C43/100*R44</f>
        <v>3318.2386363636369</v>
      </c>
      <c r="S43" s="65">
        <f t="shared" si="5"/>
        <v>19798.823863636364</v>
      </c>
    </row>
    <row r="44" spans="1:19">
      <c r="A44" s="7"/>
      <c r="B44" s="75" t="s">
        <v>3</v>
      </c>
      <c r="C44" s="66"/>
      <c r="D44" s="82">
        <v>300</v>
      </c>
      <c r="E44" s="82"/>
      <c r="F44" s="66">
        <v>375</v>
      </c>
      <c r="G44" s="66">
        <v>1201.5000104904175</v>
      </c>
      <c r="H44" s="66">
        <v>442</v>
      </c>
      <c r="I44" s="82">
        <v>0</v>
      </c>
      <c r="J44" s="82">
        <v>8.8486363636363645</v>
      </c>
      <c r="K44" s="82">
        <v>4.4243181818181823</v>
      </c>
      <c r="L44" s="82">
        <v>11.060795454545456</v>
      </c>
      <c r="M44" s="82">
        <v>11.060795454545456</v>
      </c>
      <c r="N44" s="66">
        <v>0</v>
      </c>
      <c r="O44" s="66">
        <v>2654.5909090909095</v>
      </c>
      <c r="P44" s="66">
        <v>4424.318181818182</v>
      </c>
      <c r="Q44" s="66">
        <v>9401.6761363636379</v>
      </c>
      <c r="R44" s="66">
        <v>3318.2386363636369</v>
      </c>
      <c r="S44" s="66">
        <f t="shared" ref="S44:S47" si="126">SUM(N44:R44)</f>
        <v>19798.823863636364</v>
      </c>
    </row>
    <row r="45" spans="1:19">
      <c r="A45" s="72"/>
      <c r="B45" s="73" t="s">
        <v>1</v>
      </c>
      <c r="C45" s="63"/>
      <c r="D45" s="80">
        <f>D6+D9+D12+D15+D18+D21+D24+D27+D30+D33+D36+D39+D42</f>
        <v>6674.6</v>
      </c>
      <c r="E45" s="80">
        <f>E6+E9+E12+E15+E18+E21+E24+E27+E30+E33+E36+E39+E42</f>
        <v>23.871399978577216</v>
      </c>
      <c r="F45" s="63">
        <f>F6+F9+F12+F15+F18+F21+F24+F27+F30+F33+F36+F39+F42</f>
        <v>30440.449999999997</v>
      </c>
      <c r="G45" s="63">
        <f>G6+G9+G12+G15+G18+G21+G24+G27+G30+G33+G36+G39+G42</f>
        <v>144973.5929992318</v>
      </c>
      <c r="H45" s="63">
        <f>H6+H9+H12+H15+H18+H21+H24+H27+H30+H33+H36+H39+H42</f>
        <v>20679.899999999998</v>
      </c>
      <c r="I45" s="80">
        <f>I6+I9+I12+I15+I18+I21+I24+I27+I30+I33+I36+I39+I42</f>
        <v>976.7534545454547</v>
      </c>
      <c r="J45" s="80">
        <f>J6+J9+J12+J15+J18+J21+J24+J27+J30+J33+J36+J39+J42</f>
        <v>413.60304545454551</v>
      </c>
      <c r="K45" s="80">
        <f>K6+K9+K12+K15+K18+K21+K24+K27+K30+K33+K36+K39+K42</f>
        <v>206.80152272727275</v>
      </c>
      <c r="L45" s="80">
        <f>L6+L9+L12+L15+L18+L21+L24+L27+L30+L33+L36+L39+L42</f>
        <v>1110.6051193181816</v>
      </c>
      <c r="M45" s="80">
        <f>M6+M9+M12+M15+M18+M21+M24+M27+M30+M33+M36+M39+M42</f>
        <v>517.00380681818183</v>
      </c>
      <c r="N45" s="63">
        <f>N6+N9+N12+N15+N18+N21+N24+N27+N30+N33+N36+N39+N42</f>
        <v>571275.43249999988</v>
      </c>
      <c r="O45" s="63">
        <f>O6+O9+O12+O15+O18+O21+O24+O27+O30+O33+O36+O39+O42</f>
        <v>124080.91363636362</v>
      </c>
      <c r="P45" s="63">
        <f>P6+P9+P12+P15+P18+P21+P24+P27+P30+P33+P36+P39+P42</f>
        <v>206801.52272727274</v>
      </c>
      <c r="Q45" s="63">
        <f>Q6+Q9+Q12+Q15+Q18+Q21+Q24+Q27+Q30+Q33+Q36+Q39+Q42</f>
        <v>944014.35142045456</v>
      </c>
      <c r="R45" s="63">
        <f>R6+R9+R12+R15+R18+R21+R24+R27+R30+R33+R36+R39+R42</f>
        <v>155101.14204545453</v>
      </c>
      <c r="S45" s="63">
        <f t="shared" si="126"/>
        <v>2001273.3623295454</v>
      </c>
    </row>
    <row r="46" spans="1:19">
      <c r="A46" s="72"/>
      <c r="B46" s="74" t="s">
        <v>0</v>
      </c>
      <c r="C46" s="65"/>
      <c r="D46" s="81">
        <f>D7+D10+D13+D16+D19+D22+D25+D28+D31+D34+D37+D40+D43</f>
        <v>12129.4</v>
      </c>
      <c r="E46" s="81">
        <f>E7+E10+E13+E16+E19+E22+E25+E28+E31+E34+E37+E40+E43</f>
        <v>28.169645592612305</v>
      </c>
      <c r="F46" s="65">
        <f>F7+F10+F13+F16+F19+F22+F25+F28+F31+F34+F37+F40+F43</f>
        <v>55372.049999999996</v>
      </c>
      <c r="G46" s="65">
        <f>G7+G10+G13+G16+G19+G22+G25+G28+G31+G34+G37+G40+G43</f>
        <v>264209.94990228413</v>
      </c>
      <c r="H46" s="65">
        <f>H7+H10+H13+H16+H19+H22+H25+H28+H31+H34+H37+H40+H43</f>
        <v>37449.099999999991</v>
      </c>
      <c r="I46" s="81">
        <f>I7+I10+I13+I16+I19+I22+I25+I28+I31+I34+I37+I40+I43</f>
        <v>1654.2979090909089</v>
      </c>
      <c r="J46" s="81">
        <f>J7+J10+J13+J16+J19+J22+J25+J28+J31+J34+J37+J40+J43</f>
        <v>748.99490909090912</v>
      </c>
      <c r="K46" s="81">
        <f>K7+K10+K13+K16+K19+K22+K25+K28+K31+K34+K37+K40+K43</f>
        <v>374.49745454545456</v>
      </c>
      <c r="L46" s="81">
        <f>L7+L10+L13+L16+L19+L22+L25+L28+L31+L34+L37+L40+L43</f>
        <v>1992.7483465909095</v>
      </c>
      <c r="M46" s="81">
        <f>M7+M10+M13+M16+M19+M22+M25+M28+M31+M34+M37+M40+M43</f>
        <v>936.24363636363637</v>
      </c>
      <c r="N46" s="65">
        <f>N7+N10+N13+N16+N19+N22+N25+N28+N31+N34+N37+N40+N43</f>
        <v>837698.7947727273</v>
      </c>
      <c r="O46" s="65">
        <f>O7+O10+O13+O16+O19+O22+O25+O28+O31+O34+O37+O40+O43</f>
        <v>224698.47272727272</v>
      </c>
      <c r="P46" s="65">
        <f>P7+P10+P13+P16+P19+P22+P25+P28+P31+P34+P37+P40+P43</f>
        <v>374497.45454545459</v>
      </c>
      <c r="Q46" s="65">
        <f>Q7+Q10+Q13+Q16+Q19+Q22+Q25+Q28+Q31+Q34+Q37+Q40+Q43</f>
        <v>1693836.0946022728</v>
      </c>
      <c r="R46" s="65">
        <f>R7+R10+R13+R16+R19+R22+R25+R28+R31+R34+R37+R40+R43</f>
        <v>280873.09090909094</v>
      </c>
      <c r="S46" s="65">
        <f t="shared" si="126"/>
        <v>3411603.9075568183</v>
      </c>
    </row>
    <row r="47" spans="1:19">
      <c r="A47" s="72"/>
      <c r="B47" s="75" t="s">
        <v>3</v>
      </c>
      <c r="C47" s="66"/>
      <c r="D47" s="82">
        <f t="shared" ref="D47:S47" si="127">SUM(D45:D46)</f>
        <v>18804</v>
      </c>
      <c r="E47" s="82">
        <f t="shared" si="127"/>
        <v>52.041045571189521</v>
      </c>
      <c r="F47" s="66">
        <f t="shared" si="127"/>
        <v>85812.5</v>
      </c>
      <c r="G47" s="66">
        <f t="shared" si="127"/>
        <v>409183.54290151596</v>
      </c>
      <c r="H47" s="66">
        <f t="shared" si="127"/>
        <v>58128.999999999985</v>
      </c>
      <c r="I47" s="82">
        <f t="shared" si="127"/>
        <v>2631.0513636363635</v>
      </c>
      <c r="J47" s="82">
        <f t="shared" si="127"/>
        <v>1162.5979545454547</v>
      </c>
      <c r="K47" s="82">
        <f t="shared" si="127"/>
        <v>581.29897727272737</v>
      </c>
      <c r="L47" s="82">
        <f t="shared" si="127"/>
        <v>3103.353465909091</v>
      </c>
      <c r="M47" s="82">
        <f t="shared" si="127"/>
        <v>1453.2474431818182</v>
      </c>
      <c r="N47" s="66">
        <f t="shared" si="127"/>
        <v>1408974.2272727271</v>
      </c>
      <c r="O47" s="66">
        <f t="shared" si="127"/>
        <v>348779.38636363635</v>
      </c>
      <c r="P47" s="66">
        <f t="shared" si="127"/>
        <v>581298.97727272729</v>
      </c>
      <c r="Q47" s="66">
        <f t="shared" si="127"/>
        <v>2637850.4460227275</v>
      </c>
      <c r="R47" s="66">
        <f t="shared" si="127"/>
        <v>435974.23295454547</v>
      </c>
      <c r="S47" s="66">
        <f t="shared" si="126"/>
        <v>5412877.2698863642</v>
      </c>
    </row>
  </sheetData>
  <mergeCells count="3">
    <mergeCell ref="I3:M3"/>
    <mergeCell ref="N3:P3"/>
    <mergeCell ref="A45:A47"/>
  </mergeCells>
  <phoneticPr fontId="3"/>
  <printOptions horizontalCentered="1"/>
  <pageMargins left="0.39370078740157483" right="0.39370078740157483" top="0.78740157480314965" bottom="0.39370078740157483" header="0.51181102362204722" footer="0.51181102362204722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5"/>
  <sheetViews>
    <sheetView showGridLines="0" zoomScaleNormal="100" workbookViewId="0">
      <selection activeCell="N15" sqref="N15"/>
    </sheetView>
  </sheetViews>
  <sheetFormatPr defaultRowHeight="10.5"/>
  <cols>
    <col min="1" max="1" width="5.125" style="1" customWidth="1"/>
    <col min="2" max="2" width="19.375" style="1" customWidth="1"/>
    <col min="3" max="3" width="10.5" style="1" customWidth="1"/>
    <col min="4" max="4" width="9.125" style="1" customWidth="1"/>
    <col min="5" max="5" width="10" style="1" customWidth="1"/>
    <col min="6" max="6" width="9.875" style="1" customWidth="1"/>
    <col min="7" max="7" width="10.375" style="1" customWidth="1"/>
    <col min="8" max="8" width="10" style="1" customWidth="1"/>
    <col min="9" max="9" width="9.875" style="1" customWidth="1"/>
    <col min="10" max="10" width="12.5" style="1" customWidth="1"/>
    <col min="11" max="11" width="10" style="1" customWidth="1"/>
    <col min="12" max="12" width="15.375" style="1" customWidth="1"/>
    <col min="13" max="16384" width="9" style="1"/>
  </cols>
  <sheetData>
    <row r="1" spans="1:12">
      <c r="A1" s="1" t="s">
        <v>133</v>
      </c>
      <c r="C1" s="3"/>
      <c r="D1" s="6"/>
      <c r="E1" s="6"/>
      <c r="F1" s="3"/>
      <c r="G1" s="3"/>
      <c r="H1" s="3"/>
      <c r="I1" s="3"/>
    </row>
    <row r="3" spans="1:12">
      <c r="A3" s="24" t="s">
        <v>50</v>
      </c>
      <c r="B3" s="24" t="s">
        <v>80</v>
      </c>
      <c r="C3" s="24" t="s">
        <v>79</v>
      </c>
      <c r="D3" s="24" t="s">
        <v>90</v>
      </c>
      <c r="E3" s="24" t="s">
        <v>39</v>
      </c>
      <c r="F3" s="24" t="s">
        <v>91</v>
      </c>
      <c r="G3" s="24" t="s">
        <v>91</v>
      </c>
      <c r="H3" s="24" t="s">
        <v>34</v>
      </c>
      <c r="I3" s="24" t="s">
        <v>33</v>
      </c>
      <c r="J3" s="24" t="s">
        <v>24</v>
      </c>
      <c r="K3" s="24" t="s">
        <v>78</v>
      </c>
      <c r="L3" s="24" t="s">
        <v>134</v>
      </c>
    </row>
    <row r="4" spans="1:12">
      <c r="A4" s="32" t="s">
        <v>77</v>
      </c>
      <c r="B4" s="32"/>
      <c r="C4" s="32"/>
      <c r="D4" s="32" t="s">
        <v>92</v>
      </c>
      <c r="E4" s="32" t="s">
        <v>21</v>
      </c>
      <c r="F4" s="32" t="s">
        <v>88</v>
      </c>
      <c r="G4" s="32" t="s">
        <v>88</v>
      </c>
      <c r="H4" s="32" t="s">
        <v>19</v>
      </c>
      <c r="I4" s="32" t="s">
        <v>18</v>
      </c>
      <c r="J4" s="32" t="s">
        <v>99</v>
      </c>
      <c r="K4" s="32" t="s">
        <v>17</v>
      </c>
      <c r="L4" s="32" t="s">
        <v>135</v>
      </c>
    </row>
    <row r="5" spans="1:12">
      <c r="A5" s="21" t="s">
        <v>76</v>
      </c>
      <c r="B5" s="18" t="s">
        <v>75</v>
      </c>
      <c r="C5" s="68">
        <v>19589</v>
      </c>
      <c r="D5" s="68">
        <v>88347.5</v>
      </c>
      <c r="E5" s="68">
        <v>420059.39283037186</v>
      </c>
      <c r="F5" s="68">
        <v>61220</v>
      </c>
      <c r="G5" s="14">
        <v>22203.15</v>
      </c>
      <c r="H5" s="14">
        <v>626</v>
      </c>
      <c r="I5" s="14">
        <v>313</v>
      </c>
      <c r="J5" s="14">
        <v>89</v>
      </c>
      <c r="K5" s="15">
        <f>SUM(H5:J5)</f>
        <v>1028</v>
      </c>
      <c r="L5" s="41">
        <v>23555000</v>
      </c>
    </row>
    <row r="6" spans="1:12">
      <c r="A6" s="17"/>
      <c r="B6" s="7"/>
      <c r="C6" s="69"/>
      <c r="D6" s="69"/>
      <c r="E6" s="69"/>
      <c r="F6" s="69"/>
      <c r="G6" s="44"/>
      <c r="H6" s="11"/>
      <c r="I6" s="44"/>
      <c r="J6" s="11"/>
      <c r="K6" s="44"/>
      <c r="L6" s="44"/>
    </row>
    <row r="7" spans="1:12">
      <c r="A7" s="21" t="s">
        <v>74</v>
      </c>
      <c r="B7" s="18" t="s">
        <v>127</v>
      </c>
      <c r="C7" s="69"/>
      <c r="D7" s="69"/>
      <c r="E7" s="69"/>
      <c r="F7" s="69"/>
      <c r="G7" s="54">
        <v>39016.85</v>
      </c>
      <c r="H7" s="19">
        <v>3234</v>
      </c>
      <c r="I7" s="54">
        <v>1078</v>
      </c>
      <c r="J7" s="19">
        <v>0</v>
      </c>
      <c r="K7" s="88">
        <f>SUM(H7:J7)</f>
        <v>4312</v>
      </c>
      <c r="L7" s="41">
        <v>103488000</v>
      </c>
    </row>
    <row r="8" spans="1:12">
      <c r="A8" s="17"/>
      <c r="B8" s="7"/>
      <c r="C8" s="70"/>
      <c r="D8" s="70"/>
      <c r="E8" s="70"/>
      <c r="F8" s="70"/>
      <c r="G8" s="44"/>
      <c r="H8" s="11"/>
      <c r="I8" s="44"/>
      <c r="J8" s="11"/>
      <c r="K8" s="44"/>
      <c r="L8" s="44"/>
    </row>
    <row r="9" spans="1:12">
      <c r="A9" s="16" t="s">
        <v>73</v>
      </c>
      <c r="B9" s="35" t="s">
        <v>139</v>
      </c>
      <c r="C9" s="54">
        <v>5000.5</v>
      </c>
      <c r="D9" s="13"/>
      <c r="E9" s="54">
        <v>146988.54809499998</v>
      </c>
      <c r="F9" s="54"/>
      <c r="G9" s="54"/>
      <c r="H9" s="13">
        <v>8.5</v>
      </c>
      <c r="I9" s="54">
        <v>8</v>
      </c>
      <c r="J9" s="13">
        <v>18</v>
      </c>
      <c r="K9" s="88">
        <f>SUM(H9:J9)</f>
        <v>34.5</v>
      </c>
      <c r="L9" s="54">
        <v>19211000</v>
      </c>
    </row>
    <row r="10" spans="1:12">
      <c r="A10" s="17"/>
      <c r="B10" s="7"/>
      <c r="C10" s="44"/>
      <c r="D10" s="11"/>
      <c r="E10" s="44"/>
      <c r="F10" s="44"/>
      <c r="G10" s="44"/>
      <c r="H10" s="11">
        <v>756</v>
      </c>
      <c r="I10" s="44">
        <v>10</v>
      </c>
      <c r="J10" s="11"/>
      <c r="K10" s="50"/>
      <c r="L10" s="44"/>
    </row>
    <row r="11" spans="1:12">
      <c r="A11" s="21" t="s">
        <v>72</v>
      </c>
      <c r="B11" s="18" t="s">
        <v>71</v>
      </c>
      <c r="C11" s="54"/>
      <c r="D11" s="13"/>
      <c r="E11" s="54">
        <v>6500</v>
      </c>
      <c r="F11" s="54"/>
      <c r="G11" s="54"/>
      <c r="H11" s="13">
        <v>45.25</v>
      </c>
      <c r="I11" s="54">
        <v>11.25</v>
      </c>
      <c r="J11" s="13"/>
      <c r="K11" s="88"/>
      <c r="L11" s="41">
        <v>2254000</v>
      </c>
    </row>
    <row r="12" spans="1:12">
      <c r="A12" s="17"/>
      <c r="B12" s="7"/>
      <c r="C12" s="44"/>
      <c r="D12" s="11"/>
      <c r="E12" s="44"/>
      <c r="F12" s="44"/>
      <c r="G12" s="44"/>
      <c r="H12" s="11">
        <v>34</v>
      </c>
      <c r="I12" s="44">
        <v>7.25</v>
      </c>
      <c r="J12" s="11"/>
      <c r="K12" s="50"/>
      <c r="L12" s="44"/>
    </row>
    <row r="13" spans="1:12">
      <c r="A13" s="21" t="s">
        <v>70</v>
      </c>
      <c r="B13" s="18" t="s">
        <v>69</v>
      </c>
      <c r="C13" s="54">
        <v>37620</v>
      </c>
      <c r="D13" s="13"/>
      <c r="E13" s="54"/>
      <c r="F13" s="54">
        <v>150</v>
      </c>
      <c r="G13" s="54"/>
      <c r="H13" s="13">
        <v>217.39130434782609</v>
      </c>
      <c r="I13" s="54"/>
      <c r="J13" s="13"/>
      <c r="K13" s="88"/>
      <c r="L13" s="41">
        <v>5382000</v>
      </c>
    </row>
    <row r="14" spans="1:12">
      <c r="A14" s="17"/>
      <c r="B14" s="7"/>
      <c r="C14" s="44"/>
      <c r="D14" s="11"/>
      <c r="E14" s="44"/>
      <c r="F14" s="44"/>
      <c r="G14" s="44"/>
      <c r="H14" s="11"/>
      <c r="I14" s="44"/>
      <c r="J14" s="11"/>
      <c r="K14" s="50"/>
      <c r="L14" s="44"/>
    </row>
    <row r="15" spans="1:12">
      <c r="A15" s="21" t="s">
        <v>68</v>
      </c>
      <c r="B15" s="18" t="s">
        <v>126</v>
      </c>
      <c r="C15" s="54"/>
      <c r="D15" s="13"/>
      <c r="E15" s="54"/>
      <c r="F15" s="54"/>
      <c r="G15" s="54"/>
      <c r="H15" s="13"/>
      <c r="I15" s="54"/>
      <c r="J15" s="13"/>
      <c r="K15" s="88"/>
      <c r="L15" s="41">
        <v>1942922.3237215909</v>
      </c>
    </row>
    <row r="16" spans="1:12">
      <c r="A16" s="17"/>
      <c r="B16" s="7"/>
      <c r="C16" s="44"/>
      <c r="D16" s="11"/>
      <c r="E16" s="44"/>
      <c r="F16" s="44"/>
      <c r="G16" s="44"/>
      <c r="H16" s="11"/>
      <c r="I16" s="44"/>
      <c r="J16" s="11"/>
      <c r="K16" s="50"/>
      <c r="L16" s="44"/>
    </row>
    <row r="17" spans="1:12">
      <c r="A17" s="21" t="s">
        <v>67</v>
      </c>
      <c r="B17" s="18" t="s">
        <v>66</v>
      </c>
      <c r="C17" s="54"/>
      <c r="D17" s="13"/>
      <c r="E17" s="54"/>
      <c r="F17" s="54"/>
      <c r="G17" s="54"/>
      <c r="H17" s="13"/>
      <c r="I17" s="54"/>
      <c r="J17" s="13"/>
      <c r="K17" s="88"/>
      <c r="L17" s="41">
        <v>3608284.315482955</v>
      </c>
    </row>
    <row r="18" spans="1:12">
      <c r="A18" s="17"/>
      <c r="B18" s="7"/>
      <c r="C18" s="44"/>
      <c r="D18" s="11"/>
      <c r="E18" s="44"/>
      <c r="F18" s="44"/>
      <c r="G18" s="44"/>
      <c r="H18" s="11"/>
      <c r="I18" s="44"/>
      <c r="J18" s="11"/>
      <c r="K18" s="50"/>
      <c r="L18" s="44"/>
    </row>
    <row r="19" spans="1:12">
      <c r="A19" s="21" t="s">
        <v>65</v>
      </c>
      <c r="B19" s="18" t="s">
        <v>64</v>
      </c>
      <c r="C19" s="54"/>
      <c r="D19" s="13"/>
      <c r="E19" s="54"/>
      <c r="F19" s="54"/>
      <c r="G19" s="54"/>
      <c r="H19" s="13"/>
      <c r="I19" s="54"/>
      <c r="J19" s="13"/>
      <c r="K19" s="88"/>
      <c r="L19" s="41"/>
    </row>
    <row r="20" spans="1:12">
      <c r="A20" s="17"/>
      <c r="B20" s="7"/>
      <c r="C20" s="44"/>
      <c r="D20" s="11"/>
      <c r="E20" s="44"/>
      <c r="F20" s="44"/>
      <c r="G20" s="44"/>
      <c r="H20" s="11"/>
      <c r="I20" s="44"/>
      <c r="J20" s="11"/>
      <c r="K20" s="50"/>
      <c r="L20" s="44"/>
    </row>
    <row r="21" spans="1:12">
      <c r="A21" s="21" t="s">
        <v>63</v>
      </c>
      <c r="B21" s="18" t="s">
        <v>62</v>
      </c>
      <c r="C21" s="54"/>
      <c r="D21" s="13"/>
      <c r="E21" s="54"/>
      <c r="F21" s="54"/>
      <c r="G21" s="54"/>
      <c r="H21" s="13"/>
      <c r="I21" s="54"/>
      <c r="J21" s="13"/>
      <c r="K21" s="88"/>
      <c r="L21" s="41"/>
    </row>
    <row r="22" spans="1:12">
      <c r="A22" s="17"/>
      <c r="B22" s="7"/>
      <c r="C22" s="44"/>
      <c r="D22" s="11"/>
      <c r="E22" s="44"/>
      <c r="F22" s="44"/>
      <c r="G22" s="44"/>
      <c r="H22" s="11"/>
      <c r="I22" s="44"/>
      <c r="J22" s="11"/>
      <c r="K22" s="50"/>
      <c r="L22" s="44"/>
    </row>
    <row r="23" spans="1:12">
      <c r="A23" s="21" t="s">
        <v>61</v>
      </c>
      <c r="B23" s="18" t="s">
        <v>60</v>
      </c>
      <c r="C23" s="54"/>
      <c r="D23" s="13"/>
      <c r="E23" s="54"/>
      <c r="F23" s="54"/>
      <c r="G23" s="54"/>
      <c r="H23" s="13"/>
      <c r="I23" s="54"/>
      <c r="J23" s="13"/>
      <c r="K23" s="88"/>
      <c r="L23" s="41"/>
    </row>
    <row r="24" spans="1:12">
      <c r="A24" s="17"/>
      <c r="B24" s="7"/>
      <c r="C24" s="44"/>
      <c r="D24" s="11"/>
      <c r="E24" s="44"/>
      <c r="F24" s="44"/>
      <c r="G24" s="44"/>
      <c r="H24" s="11"/>
      <c r="I24" s="44"/>
      <c r="J24" s="11"/>
      <c r="K24" s="50"/>
      <c r="L24" s="44"/>
    </row>
    <row r="25" spans="1:12">
      <c r="A25" s="21" t="s">
        <v>58</v>
      </c>
      <c r="B25" s="18" t="s">
        <v>57</v>
      </c>
      <c r="C25" s="54"/>
      <c r="D25" s="13"/>
      <c r="E25" s="54"/>
      <c r="F25" s="54"/>
      <c r="G25" s="54"/>
      <c r="H25" s="13"/>
      <c r="I25" s="54"/>
      <c r="J25" s="13"/>
      <c r="K25" s="88"/>
      <c r="L25" s="41">
        <v>4464000</v>
      </c>
    </row>
    <row r="26" spans="1:12">
      <c r="A26" s="17"/>
      <c r="B26" s="7"/>
      <c r="C26" s="44"/>
      <c r="D26" s="11"/>
      <c r="E26" s="44"/>
      <c r="F26" s="44"/>
      <c r="G26" s="44"/>
      <c r="H26" s="11"/>
      <c r="I26" s="44"/>
      <c r="J26" s="11"/>
      <c r="K26" s="50"/>
      <c r="L26" s="44"/>
    </row>
    <row r="27" spans="1:12">
      <c r="A27" s="21" t="s">
        <v>56</v>
      </c>
      <c r="B27" s="18" t="s">
        <v>55</v>
      </c>
      <c r="C27" s="54"/>
      <c r="D27" s="13"/>
      <c r="E27" s="54"/>
      <c r="F27" s="54"/>
      <c r="G27" s="54"/>
      <c r="H27" s="13"/>
      <c r="I27" s="54"/>
      <c r="J27" s="13"/>
      <c r="K27" s="88"/>
      <c r="L27" s="41">
        <v>3188000</v>
      </c>
    </row>
    <row r="28" spans="1:12">
      <c r="A28" s="17"/>
      <c r="B28" s="7"/>
      <c r="C28" s="44"/>
      <c r="D28" s="11"/>
      <c r="E28" s="44"/>
      <c r="F28" s="44"/>
      <c r="G28" s="44"/>
      <c r="H28" s="11"/>
      <c r="I28" s="44"/>
      <c r="J28" s="11"/>
      <c r="K28" s="50"/>
      <c r="L28" s="44"/>
    </row>
    <row r="29" spans="1:12">
      <c r="A29" s="21" t="s">
        <v>53</v>
      </c>
      <c r="B29" s="18" t="s">
        <v>52</v>
      </c>
      <c r="C29" s="54"/>
      <c r="D29" s="13"/>
      <c r="E29" s="54"/>
      <c r="F29" s="54"/>
      <c r="G29" s="54"/>
      <c r="H29" s="13"/>
      <c r="I29" s="54"/>
      <c r="J29" s="13"/>
      <c r="K29" s="88"/>
      <c r="L29" s="41">
        <v>26977000</v>
      </c>
    </row>
    <row r="30" spans="1:12">
      <c r="A30" s="17"/>
      <c r="B30" s="7"/>
      <c r="C30" s="44"/>
      <c r="D30" s="11"/>
      <c r="E30" s="44"/>
      <c r="F30" s="44"/>
      <c r="G30" s="44"/>
      <c r="H30" s="11"/>
      <c r="I30" s="44"/>
      <c r="J30" s="11"/>
      <c r="K30" s="50"/>
      <c r="L30" s="44"/>
    </row>
    <row r="31" spans="1:12">
      <c r="A31" s="21"/>
      <c r="B31" s="18" t="s">
        <v>51</v>
      </c>
      <c r="C31" s="54"/>
      <c r="D31" s="13"/>
      <c r="E31" s="54"/>
      <c r="F31" s="54"/>
      <c r="G31" s="54"/>
      <c r="H31" s="13"/>
      <c r="I31" s="54"/>
      <c r="J31" s="13"/>
      <c r="K31" s="88"/>
      <c r="L31" s="41">
        <f>SUM(L5:L30)</f>
        <v>194070206.63920453</v>
      </c>
    </row>
    <row r="32" spans="1:12">
      <c r="A32" s="17"/>
      <c r="B32" s="7"/>
      <c r="C32" s="44"/>
      <c r="D32" s="11"/>
      <c r="E32" s="44"/>
      <c r="F32" s="44"/>
      <c r="G32" s="44"/>
      <c r="H32" s="11"/>
      <c r="I32" s="44"/>
      <c r="J32" s="11"/>
      <c r="K32" s="50"/>
      <c r="L32" s="44"/>
    </row>
    <row r="34" spans="11:12">
      <c r="K34" s="71" t="s">
        <v>59</v>
      </c>
      <c r="L34" s="76">
        <f>SUM(L5:L24)</f>
        <v>159441206.63920453</v>
      </c>
    </row>
    <row r="35" spans="11:12">
      <c r="K35" s="71" t="s">
        <v>54</v>
      </c>
      <c r="L35" s="76">
        <f>SUM(L5:L28)</f>
        <v>167093206.63920453</v>
      </c>
    </row>
  </sheetData>
  <mergeCells count="4">
    <mergeCell ref="C5:C8"/>
    <mergeCell ref="D5:D8"/>
    <mergeCell ref="E5:E8"/>
    <mergeCell ref="F5:F8"/>
  </mergeCells>
  <phoneticPr fontId="3"/>
  <printOptions horizontalCentered="1"/>
  <pageMargins left="0.19685039370078741" right="0.19685039370078741" top="0.78740157480314965" bottom="0.39370078740157483" header="0.51181102362204722" footer="0.51181102362204722"/>
  <pageSetup paperSize="9" orientation="landscape" horizontalDpi="96" verticalDpi="96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配管</vt:lpstr>
      <vt:lpstr>バルブ</vt:lpstr>
      <vt:lpstr>消耗品</vt:lpstr>
      <vt:lpstr>合計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Minoru Fukuda</dc:creator>
  <cp:lastModifiedBy>MCI</cp:lastModifiedBy>
  <cp:lastPrinted>2016-02-23T06:07:54Z</cp:lastPrinted>
  <dcterms:created xsi:type="dcterms:W3CDTF">2016-02-23T02:35:06Z</dcterms:created>
  <dcterms:modified xsi:type="dcterms:W3CDTF">2016-02-23T06:15:34Z</dcterms:modified>
</cp:coreProperties>
</file>