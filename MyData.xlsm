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4335" windowWidth="21630" windowHeight="5790"/>
  </bookViews>
  <sheets>
    <sheet name="Pipe_Data" sheetId="5" r:id="rId1"/>
    <sheet name="Insulation_Data" sheetId="8" r:id="rId2"/>
    <sheet name="Param1" sheetId="6" r:id="rId3"/>
    <sheet name="Param2" sheetId="9" r:id="rId4"/>
  </sheets>
  <functionGroups builtInGroupCount="17"/>
  <definedNames>
    <definedName name="_xlnm._FilterDatabase" localSheetId="1" hidden="1">Insulation_Data!$A$3:$AD$234</definedName>
    <definedName name="_xlnm._FilterDatabase" localSheetId="0" hidden="1">Pipe_Data!$A$3:$AX$253</definedName>
    <definedName name="工数歩掛_ﾌﾗﾝｼﾞ取付">Pipe_Data!$D$40:$AR$48</definedName>
    <definedName name="工数歩掛_ﾌﾗﾝｼﾞ溶接">Pipe_Data!$D$31:$AR$38</definedName>
    <definedName name="工数歩掛_突合せ溶接">Pipe_Data!$D$21:$AR$29</definedName>
    <definedName name="工数歩掛_配管">Pipe_Data!$D$5:$AR$19</definedName>
    <definedName name="工数歩掛_弁取付">Pipe_Data!$D$50:$AR$65</definedName>
    <definedName name="材料単価_ｴﾙﾎﾞ">Pipe_Data!$D$85:$AR$99</definedName>
    <definedName name="材料単価_ｸﾛｽ">Pipe_Data!$D$117:$AR$131</definedName>
    <definedName name="材料単価_ﾃｨｰ">Pipe_Data!$D$101:$AR$115</definedName>
    <definedName name="材料単価_ﾌﾗﾝｼﾞ">Pipe_Data!$D$149:$AR$160</definedName>
    <definedName name="材料単価_ﾚﾃﾞｭｰｻ">Pipe_Data!$D$133:$AR$147</definedName>
    <definedName name="材料単価_配管">Pipe_Data!$D$69:$AR$83</definedName>
    <definedName name="材料単価_弁ｸﾞﾛｰﾌﾞ">Pipe_Data!$D$172:$AR$180</definedName>
    <definedName name="材料単価_弁ｹﾞｰﾄ">Pipe_Data!$D$162:$AR$170</definedName>
    <definedName name="材料単価_弁ﾀﾞｲﾔﾌﾗﾑ">Pipe_Data!$D$212:$AR$219</definedName>
    <definedName name="材料単価_弁ﾊﾞﾀﾌﾗｲ">Pipe_Data!$D$202:$AR$210</definedName>
    <definedName name="材料単価_弁ﾌﾟﾗｸﾞ">Pipe_Data!$D$192:$AR$200</definedName>
    <definedName name="材料単価_弁ﾎﾞｰﾙ">Pipe_Data!$D$182:$AR$190</definedName>
    <definedName name="材料単価_弁逆止">Pipe_Data!$D$221:$AR$229</definedName>
    <definedName name="単位重量_配管">Pipe_Data!$D$233:$AR$247</definedName>
    <definedName name="断熱_厚さCS">Insulation_Data!$F$17:$AA$31</definedName>
    <definedName name="断熱_厚さGW">Insulation_Data!$F$45:$AA$47</definedName>
    <definedName name="断熱_厚さPL">Insulation_Data!$F$5:$AA$15</definedName>
    <definedName name="断熱_厚さRW">Insulation_Data!$F$33:$AA$43</definedName>
    <definedName name="断熱_厚さSF">Insulation_Data!$F$49:$AA$62</definedName>
    <definedName name="断熱_厚さUF">Insulation_Data!$F$64:$AA$87</definedName>
    <definedName name="断熱_工数歩掛CS">Insulation_Data!$F$107:$AA$118</definedName>
    <definedName name="断熱_工数歩掛GW">Insulation_Data!$F$133:$AA$140</definedName>
    <definedName name="断熱_工数歩掛PL">Insulation_Data!$F$91:$AA$105</definedName>
    <definedName name="断熱_工数歩掛RW">Insulation_Data!$F$120:$AA$131</definedName>
    <definedName name="断熱_工数歩掛SF">Insulation_Data!$F$142:$AA$150</definedName>
    <definedName name="断熱_工数歩掛UF">Insulation_Data!$F$152:$AA$159</definedName>
    <definedName name="断熱_材料単価CS">Insulation_Data!$F$179:$AA$190</definedName>
    <definedName name="断熱_材料単価GW">Insulation_Data!$F$205:$AA$212</definedName>
    <definedName name="断熱_材料単価PL">Insulation_Data!$F$163:$AA$177</definedName>
    <definedName name="断熱_材料単価RW">Insulation_Data!$F$192:$AA$203</definedName>
    <definedName name="断熱_材料単価SF">Insulation_Data!$F$214:$AA$222</definedName>
    <definedName name="断熱_材料単価UF">Insulation_Data!$F$224:$AA$231</definedName>
    <definedName name="断熱_配管径">Insulation_Data!$F$1:$AA$2</definedName>
    <definedName name="配管径">Pipe_Data!$D$1:$AR$2</definedName>
  </definedNames>
  <calcPr calcId="145621"/>
</workbook>
</file>

<file path=xl/calcChain.xml><?xml version="1.0" encoding="utf-8"?>
<calcChain xmlns="http://schemas.openxmlformats.org/spreadsheetml/2006/main">
  <c r="X141" i="5" l="1"/>
  <c r="W141" i="5"/>
  <c r="U141" i="5"/>
  <c r="S141" i="5"/>
  <c r="R141" i="5"/>
  <c r="Q141" i="5"/>
  <c r="O141" i="5"/>
  <c r="N141" i="5"/>
  <c r="M141" i="5"/>
  <c r="L141" i="5"/>
  <c r="J141" i="5"/>
  <c r="I141" i="5"/>
  <c r="H141" i="5"/>
  <c r="X109" i="5"/>
  <c r="W109" i="5"/>
  <c r="U109" i="5"/>
  <c r="S109" i="5"/>
  <c r="R109" i="5"/>
  <c r="Q109" i="5"/>
  <c r="O109" i="5"/>
  <c r="N109" i="5"/>
  <c r="M109" i="5"/>
  <c r="L109" i="5"/>
  <c r="J109" i="5"/>
  <c r="I109" i="5"/>
  <c r="H109" i="5"/>
  <c r="X93" i="5"/>
  <c r="W93" i="5"/>
  <c r="U93" i="5"/>
  <c r="S93" i="5"/>
  <c r="R93" i="5"/>
  <c r="Q93" i="5"/>
  <c r="O93" i="5"/>
  <c r="N93" i="5"/>
  <c r="M93" i="5"/>
  <c r="L93" i="5"/>
  <c r="J93" i="5"/>
  <c r="I93" i="5"/>
  <c r="H93" i="5"/>
  <c r="H77" i="5"/>
  <c r="I77" i="5"/>
  <c r="J77" i="5"/>
  <c r="L77" i="5"/>
  <c r="M77" i="5"/>
  <c r="N77" i="5"/>
  <c r="O77" i="5"/>
  <c r="Q77" i="5"/>
  <c r="R77" i="5"/>
  <c r="S77" i="5"/>
  <c r="U77" i="5"/>
  <c r="W77" i="5"/>
  <c r="X77" i="5"/>
  <c r="H47" i="5"/>
  <c r="I47" i="5"/>
  <c r="J47" i="5"/>
  <c r="L47" i="5"/>
  <c r="M47" i="5"/>
  <c r="N47" i="5"/>
  <c r="O47" i="5"/>
  <c r="Q47" i="5"/>
  <c r="R47" i="5"/>
  <c r="S47" i="5"/>
  <c r="U47" i="5"/>
  <c r="W47" i="5"/>
  <c r="X47" i="5"/>
  <c r="H13" i="5"/>
  <c r="I13" i="5"/>
  <c r="J13" i="5"/>
  <c r="L13" i="5"/>
  <c r="M13" i="5"/>
  <c r="N13" i="5"/>
  <c r="O13" i="5"/>
  <c r="Q13" i="5"/>
  <c r="R13" i="5"/>
  <c r="S13" i="5"/>
  <c r="U13" i="5"/>
  <c r="W13" i="5"/>
  <c r="X13" i="5"/>
  <c r="U241" i="5"/>
  <c r="H241" i="5"/>
  <c r="I241" i="5"/>
  <c r="J241" i="5"/>
  <c r="L241" i="5"/>
  <c r="M241" i="5"/>
  <c r="N241" i="5"/>
  <c r="O241" i="5"/>
  <c r="Q241" i="5"/>
  <c r="R241" i="5"/>
  <c r="S241" i="5"/>
  <c r="W241" i="5"/>
  <c r="X241" i="5"/>
  <c r="H2" i="8" l="1"/>
</calcChain>
</file>

<file path=xl/comments1.xml><?xml version="1.0" encoding="utf-8"?>
<comments xmlns="http://schemas.openxmlformats.org/spreadsheetml/2006/main">
  <authors>
    <author>大阪事業所　計画部</author>
  </authors>
  <commentList>
    <comment ref="I15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本当は105mm
</t>
        </r>
      </text>
    </comment>
  </commentList>
</comments>
</file>

<file path=xl/sharedStrings.xml><?xml version="1.0" encoding="utf-8"?>
<sst xmlns="http://schemas.openxmlformats.org/spreadsheetml/2006/main" count="5551" uniqueCount="348">
  <si>
    <t>a</t>
  </si>
  <si>
    <t>SGP</t>
  </si>
  <si>
    <t>SS-10K-FF</t>
  </si>
  <si>
    <t>va</t>
  </si>
  <si>
    <t>vdn</t>
  </si>
  <si>
    <t>PVC-NF</t>
  </si>
  <si>
    <t>vaa</t>
  </si>
  <si>
    <t>vdt</t>
  </si>
  <si>
    <t>PVC-TF</t>
  </si>
  <si>
    <t>b</t>
  </si>
  <si>
    <t>BC-10K</t>
  </si>
  <si>
    <t>vpn</t>
  </si>
  <si>
    <t>PP-NF</t>
  </si>
  <si>
    <t>c</t>
  </si>
  <si>
    <t>STPG370/Sch80</t>
  </si>
  <si>
    <t>vc</t>
  </si>
  <si>
    <t>vpt</t>
  </si>
  <si>
    <t>PP-TF</t>
  </si>
  <si>
    <t>d</t>
  </si>
  <si>
    <t>STPG370/Sch40</t>
  </si>
  <si>
    <t>vfn</t>
  </si>
  <si>
    <t>FC-NF</t>
  </si>
  <si>
    <t>e</t>
  </si>
  <si>
    <t>SUS304/Sch10S</t>
  </si>
  <si>
    <t>ve</t>
  </si>
  <si>
    <t>SCS13-10K</t>
  </si>
  <si>
    <t>vgt</t>
  </si>
  <si>
    <t>GL-TF</t>
  </si>
  <si>
    <t>SUS304/Sch40</t>
  </si>
  <si>
    <t>vf</t>
  </si>
  <si>
    <t>SUS316/Sch10S</t>
  </si>
  <si>
    <t>vg</t>
  </si>
  <si>
    <t>SCS14-10K</t>
  </si>
  <si>
    <t>SUS316/Sch40</t>
  </si>
  <si>
    <t>vh</t>
  </si>
  <si>
    <t xml:space="preserve"> </t>
  </si>
  <si>
    <t>配管工事費の積算表(Tig 追加分) (Hr)  工数×0.13</t>
  </si>
  <si>
    <t>配管工事費の積算表(Tig+Xray 追加分) (Hr) 工数×0.2</t>
  </si>
  <si>
    <t>SCS-TF</t>
    <phoneticPr fontId="2"/>
  </si>
  <si>
    <t>[k\/m]</t>
    <phoneticPr fontId="2"/>
  </si>
  <si>
    <t>[Hr/m]</t>
    <phoneticPr fontId="2"/>
  </si>
  <si>
    <t>[kg/m3]</t>
    <phoneticPr fontId="2"/>
  </si>
  <si>
    <t>[k\/pc]</t>
    <phoneticPr fontId="2"/>
  </si>
  <si>
    <t>[Hr/pc]</t>
    <phoneticPr fontId="2"/>
  </si>
  <si>
    <t>[Hr\/pc]</t>
    <phoneticPr fontId="2"/>
  </si>
  <si>
    <t>↑重量(数量×単位重量によりﾜｰｸｼｰﾄ関数にて自動算出, ﾌｨｯﾃｨﾝｸﾞ等含まず)</t>
    <rPh sb="1" eb="3">
      <t>ジュウリョウ</t>
    </rPh>
    <rPh sb="7" eb="9">
      <t>タンイ</t>
    </rPh>
    <rPh sb="9" eb="11">
      <t>ジュウリョウ</t>
    </rPh>
    <rPh sb="38" eb="39">
      <t>トウ</t>
    </rPh>
    <rPh sb="39" eb="40">
      <t>フク</t>
    </rPh>
    <phoneticPr fontId="2"/>
  </si>
  <si>
    <t>B</t>
    <phoneticPr fontId="2"/>
  </si>
  <si>
    <t>A</t>
    <phoneticPr fontId="2"/>
  </si>
  <si>
    <t>#</t>
    <phoneticPr fontId="2"/>
  </si>
  <si>
    <t>#</t>
    <phoneticPr fontId="2"/>
  </si>
  <si>
    <t>SGP(W)</t>
    <phoneticPr fontId="2"/>
  </si>
  <si>
    <t>SGP/GL</t>
    <phoneticPr fontId="2"/>
  </si>
  <si>
    <t>STPG/GL</t>
    <phoneticPr fontId="2"/>
  </si>
  <si>
    <t>a1a</t>
    <phoneticPr fontId="2"/>
  </si>
  <si>
    <t>b1b</t>
    <phoneticPr fontId="2"/>
  </si>
  <si>
    <t>b1a</t>
    <phoneticPr fontId="2"/>
  </si>
  <si>
    <t>f1a</t>
    <phoneticPr fontId="2"/>
  </si>
  <si>
    <t>f1b</t>
    <phoneticPr fontId="2"/>
  </si>
  <si>
    <t>f3a</t>
    <phoneticPr fontId="2"/>
  </si>
  <si>
    <t>f3b</t>
    <phoneticPr fontId="2"/>
  </si>
  <si>
    <t>b1b</t>
    <phoneticPr fontId="2"/>
  </si>
  <si>
    <t>b1b</t>
    <phoneticPr fontId="2"/>
  </si>
  <si>
    <t>b1b</t>
    <phoneticPr fontId="2"/>
  </si>
  <si>
    <t>b1b</t>
    <phoneticPr fontId="2"/>
  </si>
  <si>
    <t>b1a</t>
    <phoneticPr fontId="2"/>
  </si>
  <si>
    <t>b1a</t>
    <phoneticPr fontId="2"/>
  </si>
  <si>
    <t>b1a</t>
    <phoneticPr fontId="2"/>
  </si>
  <si>
    <t>f1a</t>
    <phoneticPr fontId="2"/>
  </si>
  <si>
    <t>f1a</t>
    <phoneticPr fontId="2"/>
  </si>
  <si>
    <t>f1a</t>
    <phoneticPr fontId="2"/>
  </si>
  <si>
    <t>f1a</t>
    <phoneticPr fontId="2"/>
  </si>
  <si>
    <t>f1a</t>
    <phoneticPr fontId="2"/>
  </si>
  <si>
    <t>f1b</t>
    <phoneticPr fontId="2"/>
  </si>
  <si>
    <t>f1b</t>
    <phoneticPr fontId="2"/>
  </si>
  <si>
    <t>f1b</t>
    <phoneticPr fontId="2"/>
  </si>
  <si>
    <t>f3a</t>
    <phoneticPr fontId="2"/>
  </si>
  <si>
    <t>f3a</t>
    <phoneticPr fontId="2"/>
  </si>
  <si>
    <t>f3a</t>
    <phoneticPr fontId="2"/>
  </si>
  <si>
    <t>f3a</t>
    <phoneticPr fontId="2"/>
  </si>
  <si>
    <t>f3b</t>
    <phoneticPr fontId="2"/>
  </si>
  <si>
    <t>f3b</t>
    <phoneticPr fontId="2"/>
  </si>
  <si>
    <t>f3b</t>
    <phoneticPr fontId="2"/>
  </si>
  <si>
    <t>f3b</t>
    <phoneticPr fontId="2"/>
  </si>
  <si>
    <t>a1a</t>
    <phoneticPr fontId="2"/>
  </si>
  <si>
    <t>a1a</t>
    <phoneticPr fontId="2"/>
  </si>
  <si>
    <t>a1a</t>
    <phoneticPr fontId="2"/>
  </si>
  <si>
    <t>a1b</t>
    <phoneticPr fontId="2"/>
  </si>
  <si>
    <t>a1b</t>
    <phoneticPr fontId="2"/>
  </si>
  <si>
    <t>q3a</t>
    <phoneticPr fontId="2"/>
  </si>
  <si>
    <t>q3b</t>
    <phoneticPr fontId="2"/>
  </si>
  <si>
    <t>SGP/PTFE</t>
    <phoneticPr fontId="2"/>
  </si>
  <si>
    <t>STPG/PTFE</t>
    <phoneticPr fontId="2"/>
  </si>
  <si>
    <t>zzz</t>
    <phoneticPr fontId="2"/>
  </si>
  <si>
    <t>q2a</t>
    <phoneticPr fontId="2"/>
  </si>
  <si>
    <t>q2b</t>
    <phoneticPr fontId="2"/>
  </si>
  <si>
    <t>SGP/PTFE(FV)</t>
    <phoneticPr fontId="2"/>
  </si>
  <si>
    <t>q3c</t>
    <phoneticPr fontId="2"/>
  </si>
  <si>
    <t>x</t>
    <phoneticPr fontId="2"/>
  </si>
  <si>
    <t>zzz</t>
    <phoneticPr fontId="2"/>
  </si>
  <si>
    <t>zzz</t>
    <phoneticPr fontId="2"/>
  </si>
  <si>
    <t>材料単価_配管</t>
  </si>
  <si>
    <t>材料単価_ｴﾙﾎﾞ</t>
  </si>
  <si>
    <t>材料単価_ﾃｨｰ</t>
  </si>
  <si>
    <t>材料単価_ﾚﾃﾞｭｰｻ</t>
  </si>
  <si>
    <t>材料単価_ﾌﾗﾝｼﾞ</t>
  </si>
  <si>
    <t>工数歩掛_配管</t>
  </si>
  <si>
    <t>SS(W)-10K</t>
    <phoneticPr fontId="2"/>
  </si>
  <si>
    <t>x</t>
    <phoneticPr fontId="2"/>
  </si>
  <si>
    <t>a1b</t>
    <phoneticPr fontId="2"/>
  </si>
  <si>
    <t>工数歩掛_突合せ溶接</t>
  </si>
  <si>
    <t>工数歩掛_ﾌﾗﾝｼﾞ溶接</t>
  </si>
  <si>
    <t>工数歩掛_ﾌﾗﾝｼﾞ取付</t>
  </si>
  <si>
    <t>工数歩掛_弁取付</t>
  </si>
  <si>
    <t>x</t>
    <phoneticPr fontId="2"/>
  </si>
  <si>
    <t>x</t>
    <phoneticPr fontId="2"/>
  </si>
  <si>
    <t>DI/PFA-10K</t>
    <phoneticPr fontId="2"/>
  </si>
  <si>
    <t>HAS-10K</t>
    <phoneticPr fontId="2"/>
  </si>
  <si>
    <t>x</t>
    <phoneticPr fontId="2"/>
  </si>
  <si>
    <t>x</t>
    <phoneticPr fontId="2"/>
  </si>
  <si>
    <t>x</t>
    <phoneticPr fontId="2"/>
  </si>
  <si>
    <t>x</t>
    <phoneticPr fontId="2"/>
  </si>
  <si>
    <t>x</t>
    <phoneticPr fontId="2"/>
  </si>
  <si>
    <t>x</t>
    <phoneticPr fontId="2"/>
  </si>
  <si>
    <t>x</t>
    <phoneticPr fontId="2"/>
  </si>
  <si>
    <t>x</t>
    <phoneticPr fontId="2"/>
  </si>
  <si>
    <t>x</t>
    <phoneticPr fontId="2"/>
  </si>
  <si>
    <t>STPG/PTFE(FV)</t>
    <phoneticPr fontId="2"/>
  </si>
  <si>
    <t>STPG/PTFE(FV)</t>
    <phoneticPr fontId="2"/>
  </si>
  <si>
    <t>STPG/PTFE(FV)</t>
    <phoneticPr fontId="2"/>
  </si>
  <si>
    <t>STPG/PTFE(FV)</t>
    <phoneticPr fontId="2"/>
  </si>
  <si>
    <t>SS/GL-10K-FF</t>
    <phoneticPr fontId="2"/>
  </si>
  <si>
    <t>S25C/GL-10K-FF</t>
    <phoneticPr fontId="2"/>
  </si>
  <si>
    <t>SS/PTFE-10K-FF</t>
    <phoneticPr fontId="2"/>
  </si>
  <si>
    <t>S25C/PTFE-10K-FF</t>
    <phoneticPr fontId="2"/>
  </si>
  <si>
    <t>q3d</t>
    <phoneticPr fontId="2"/>
  </si>
  <si>
    <t>これより上に追加</t>
    <rPh sb="4" eb="5">
      <t>ウエ</t>
    </rPh>
    <rPh sb="6" eb="8">
      <t>ツイカ</t>
    </rPh>
    <phoneticPr fontId="2"/>
  </si>
  <si>
    <t>ｴﾘｱ区分</t>
    <rPh sb="3" eb="5">
      <t>クブン</t>
    </rPh>
    <phoneticPr fontId="2"/>
  </si>
  <si>
    <t>o</t>
    <phoneticPr fontId="2"/>
  </si>
  <si>
    <t>c</t>
    <phoneticPr fontId="2"/>
  </si>
  <si>
    <t>ｸﾛｰｽﾞ</t>
    <phoneticPr fontId="2"/>
  </si>
  <si>
    <t>ｵｰﾌﾟﾝ</t>
    <phoneticPr fontId="2"/>
  </si>
  <si>
    <t>複雑度</t>
    <rPh sb="0" eb="2">
      <t>フクザツ</t>
    </rPh>
    <rPh sb="2" eb="3">
      <t>ド</t>
    </rPh>
    <phoneticPr fontId="2"/>
  </si>
  <si>
    <t>ｵｰﾌﾟﾝﾗｯｸ上</t>
  </si>
  <si>
    <t>ｵｰﾌﾟﾝﾌﾟﾗﾝﾄ内</t>
  </si>
  <si>
    <t>ｵｰﾌﾟﾝ機器回り</t>
  </si>
  <si>
    <t>ｸﾛｰｽﾞﾌﾟﾗﾝﾄ内</t>
  </si>
  <si>
    <t>ｸﾛｰｽﾞ機器回り</t>
  </si>
  <si>
    <t>溶接区分</t>
    <phoneticPr fontId="2"/>
  </si>
  <si>
    <t>ｱｰｸ</t>
  </si>
  <si>
    <t>t</t>
  </si>
  <si>
    <t>Tig</t>
  </si>
  <si>
    <t>Tig+Xray</t>
  </si>
  <si>
    <t>a</t>
    <phoneticPr fontId="2"/>
  </si>
  <si>
    <t>材質配管</t>
    <rPh sb="0" eb="2">
      <t>ザイシツ</t>
    </rPh>
    <rPh sb="2" eb="4">
      <t>ハイカン</t>
    </rPh>
    <phoneticPr fontId="2"/>
  </si>
  <si>
    <t>a1a</t>
  </si>
  <si>
    <t>a1b</t>
  </si>
  <si>
    <t>SGP(W)</t>
  </si>
  <si>
    <t>b1a</t>
  </si>
  <si>
    <t>b1b</t>
  </si>
  <si>
    <t>f1a</t>
  </si>
  <si>
    <t>f1b</t>
  </si>
  <si>
    <t>f3a</t>
  </si>
  <si>
    <t>f3b</t>
  </si>
  <si>
    <t>q2a</t>
  </si>
  <si>
    <t>SGP/GL</t>
  </si>
  <si>
    <t>q2b</t>
  </si>
  <si>
    <t>STPG/GL</t>
  </si>
  <si>
    <t>q3a</t>
  </si>
  <si>
    <t>SGP/PTFE</t>
  </si>
  <si>
    <t>q3b</t>
  </si>
  <si>
    <t>STPG/PTFE</t>
  </si>
  <si>
    <t>q3c</t>
  </si>
  <si>
    <t>STPG/PTFE(FV)</t>
  </si>
  <si>
    <t>材質ﾌﾗﾝｼﾞ</t>
    <rPh sb="0" eb="2">
      <t>ザイシツ</t>
    </rPh>
    <phoneticPr fontId="2"/>
  </si>
  <si>
    <t>SS(W)-10K</t>
  </si>
  <si>
    <t>a1c</t>
  </si>
  <si>
    <t>FC/FCMB-10K</t>
    <phoneticPr fontId="2"/>
  </si>
  <si>
    <t>BC-10K</t>
    <phoneticPr fontId="2"/>
  </si>
  <si>
    <t>SCS13-#300</t>
    <phoneticPr fontId="2"/>
  </si>
  <si>
    <t>SCS14-#300</t>
    <phoneticPr fontId="2"/>
  </si>
  <si>
    <t>ｹﾚﾝ種</t>
    <rPh sb="3" eb="4">
      <t>シュ</t>
    </rPh>
    <phoneticPr fontId="2"/>
  </si>
  <si>
    <t>1種</t>
    <rPh sb="1" eb="2">
      <t>シュ</t>
    </rPh>
    <phoneticPr fontId="2"/>
  </si>
  <si>
    <t>2種</t>
    <rPh sb="1" eb="2">
      <t>シュ</t>
    </rPh>
    <phoneticPr fontId="2"/>
  </si>
  <si>
    <t>3種</t>
    <rPh sb="1" eb="2">
      <t>シュ</t>
    </rPh>
    <phoneticPr fontId="2"/>
  </si>
  <si>
    <t>錆止</t>
  </si>
  <si>
    <t>ｱﾙﾐﾆｳﾑ</t>
  </si>
  <si>
    <t>合成樹脂調合</t>
  </si>
  <si>
    <t>ﾎﾟﾘｳﾚﾀﾝ系</t>
  </si>
  <si>
    <t>ﾗﾊﾞﾏﾘﾝ系</t>
  </si>
  <si>
    <t>耐熱</t>
  </si>
  <si>
    <t>材質一般弁</t>
    <rPh sb="0" eb="2">
      <t>ザイシツ</t>
    </rPh>
    <rPh sb="2" eb="4">
      <t>イッパン</t>
    </rPh>
    <rPh sb="4" eb="5">
      <t>ベン</t>
    </rPh>
    <phoneticPr fontId="2"/>
  </si>
  <si>
    <t>S25C-10K</t>
    <phoneticPr fontId="2"/>
  </si>
  <si>
    <t>S25C-#300</t>
    <phoneticPr fontId="2"/>
  </si>
  <si>
    <t>zzz</t>
    <phoneticPr fontId="2"/>
  </si>
  <si>
    <t>材質ﾀﾞｲﾔﾌﾗﾑ弁</t>
    <rPh sb="0" eb="2">
      <t>ザイシツ</t>
    </rPh>
    <rPh sb="9" eb="10">
      <t>ベン</t>
    </rPh>
    <phoneticPr fontId="2"/>
  </si>
  <si>
    <t>zzz</t>
    <phoneticPr fontId="2"/>
  </si>
  <si>
    <t>[k\/pc]</t>
  </si>
  <si>
    <t>SGP/PTFE(FV)</t>
  </si>
  <si>
    <t>材料単価_ｸﾛｽ</t>
    <phoneticPr fontId="2"/>
  </si>
  <si>
    <t>FC/FCMB-10K</t>
  </si>
  <si>
    <t>S25C-10K</t>
  </si>
  <si>
    <t>S25C-#300</t>
  </si>
  <si>
    <t>SCS13-#300</t>
  </si>
  <si>
    <t>SCS14-#300</t>
  </si>
  <si>
    <t>a1a</t>
    <phoneticPr fontId="2"/>
  </si>
  <si>
    <t>a1b</t>
    <phoneticPr fontId="2"/>
  </si>
  <si>
    <t>a1c</t>
    <phoneticPr fontId="2"/>
  </si>
  <si>
    <t>f1a</t>
    <phoneticPr fontId="2"/>
  </si>
  <si>
    <t>f1b</t>
    <phoneticPr fontId="2"/>
  </si>
  <si>
    <t>f3a</t>
    <phoneticPr fontId="2"/>
  </si>
  <si>
    <t>f3b</t>
    <phoneticPr fontId="2"/>
  </si>
  <si>
    <t>vb</t>
    <phoneticPr fontId="2"/>
  </si>
  <si>
    <t>vst</t>
  </si>
  <si>
    <t>SCS-TF</t>
  </si>
  <si>
    <t>p1a</t>
    <phoneticPr fontId="2"/>
  </si>
  <si>
    <t>p1b</t>
    <phoneticPr fontId="2"/>
  </si>
  <si>
    <t>p2a</t>
    <phoneticPr fontId="2"/>
  </si>
  <si>
    <t>p2b</t>
    <phoneticPr fontId="2"/>
  </si>
  <si>
    <t>f1x</t>
    <phoneticPr fontId="2"/>
  </si>
  <si>
    <t>a1x</t>
    <phoneticPr fontId="2"/>
  </si>
  <si>
    <t>q2x</t>
    <phoneticPr fontId="2"/>
  </si>
  <si>
    <t>xxx</t>
    <phoneticPr fontId="2"/>
  </si>
  <si>
    <t>a1b</t>
    <phoneticPr fontId="2"/>
  </si>
  <si>
    <t>xxx</t>
    <phoneticPr fontId="2"/>
  </si>
  <si>
    <t>p2a</t>
    <phoneticPr fontId="2"/>
  </si>
  <si>
    <t>q2x</t>
    <phoneticPr fontId="2"/>
  </si>
  <si>
    <t>f1x</t>
    <phoneticPr fontId="2"/>
  </si>
  <si>
    <t>f1x</t>
    <phoneticPr fontId="2"/>
  </si>
  <si>
    <t>SUS316-#300</t>
    <phoneticPr fontId="2"/>
  </si>
  <si>
    <t>SUS304-#300</t>
    <phoneticPr fontId="2"/>
  </si>
  <si>
    <t>S25C-#300-WN</t>
    <phoneticPr fontId="2"/>
  </si>
  <si>
    <t>S25C-#300-WN</t>
    <phoneticPr fontId="2"/>
  </si>
  <si>
    <t>SCS13-10K</t>
    <phoneticPr fontId="2"/>
  </si>
  <si>
    <t>SUS304-10K-LJ</t>
    <phoneticPr fontId="2"/>
  </si>
  <si>
    <t>SUS316-10K-LJ</t>
    <phoneticPr fontId="2"/>
  </si>
  <si>
    <t>SS-10K-FF</t>
    <phoneticPr fontId="2"/>
  </si>
  <si>
    <t>SUS316-10K-LJ</t>
    <phoneticPr fontId="2"/>
  </si>
  <si>
    <t>SUS304-10K-LJ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</si>
  <si>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</si>
  <si>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</si>
  <si>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</si>
  <si>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</si>
  <si>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</si>
  <si>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</si>
  <si>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</si>
  <si>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</si>
  <si>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</si>
  <si>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</si>
  <si>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</si>
  <si>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</si>
  <si>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</si>
  <si>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</si>
  <si>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</si>
  <si>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</si>
  <si>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</si>
  <si>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</si>
  <si>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</si>
  <si>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</si>
  <si>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</si>
  <si>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</si>
  <si>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</si>
  <si>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</si>
  <si>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#</t>
    <phoneticPr fontId="2"/>
  </si>
  <si>
    <t>↑工数分掛</t>
    <rPh sb="1" eb="3">
      <t>コウスウ</t>
    </rPh>
    <rPh sb="3" eb="4">
      <t>ブ</t>
    </rPh>
    <rPh sb="4" eb="5">
      <t>カカリ</t>
    </rPh>
    <phoneticPr fontId="2"/>
  </si>
  <si>
    <t>↑材料単価</t>
    <rPh sb="1" eb="3">
      <t>ザイリョウ</t>
    </rPh>
    <rPh sb="3" eb="5">
      <t>タンカ</t>
    </rPh>
    <phoneticPr fontId="2"/>
  </si>
  <si>
    <t>分類</t>
    <rPh sb="0" eb="2">
      <t>ブンルイ</t>
    </rPh>
    <phoneticPr fontId="2"/>
  </si>
  <si>
    <t>単位</t>
    <rPh sb="0" eb="2">
      <t>タンイ</t>
    </rPh>
    <phoneticPr fontId="2"/>
  </si>
  <si>
    <t>材質</t>
    <rPh sb="0" eb="2">
      <t>ザイシツ</t>
    </rPh>
    <phoneticPr fontId="2"/>
  </si>
  <si>
    <t>断熱用途</t>
    <rPh sb="0" eb="2">
      <t>ダンネツ</t>
    </rPh>
    <rPh sb="2" eb="4">
      <t>ヨウト</t>
    </rPh>
    <phoneticPr fontId="2"/>
  </si>
  <si>
    <t>h</t>
    <phoneticPr fontId="2"/>
  </si>
  <si>
    <t>保温</t>
    <rPh sb="0" eb="2">
      <t>ホオン</t>
    </rPh>
    <phoneticPr fontId="2"/>
  </si>
  <si>
    <t>保冷</t>
    <rPh sb="0" eb="2">
      <t>ホレイ</t>
    </rPh>
    <phoneticPr fontId="2"/>
  </si>
  <si>
    <t>ﾀｰﾙｴﾎﾟｷｼ樹脂系</t>
    <phoneticPr fontId="2"/>
  </si>
  <si>
    <t>断熱材</t>
    <rPh sb="0" eb="3">
      <t>ダンネツザイ</t>
    </rPh>
    <phoneticPr fontId="2"/>
  </si>
  <si>
    <t>pl</t>
  </si>
  <si>
    <t>(温)ﾊﾟｰﾗｲﾄ</t>
  </si>
  <si>
    <t>cs</t>
  </si>
  <si>
    <t>(温)ｹｲ酸ｶﾙｼｳﾑ</t>
  </si>
  <si>
    <t>rw</t>
  </si>
  <si>
    <t>(温)ﾛｯｸｳｰﾙ</t>
  </si>
  <si>
    <t>gw</t>
  </si>
  <si>
    <t>(温)ｸﾞﾗｽｳｰﾙ</t>
  </si>
  <si>
    <t>sf</t>
  </si>
  <si>
    <t>(冷)ｽﾁﾛｰﾙ</t>
  </si>
  <si>
    <t>uf</t>
  </si>
  <si>
    <t>(冷)ｳﾚﾀﾝ</t>
  </si>
  <si>
    <t>材料単価_弁ｹﾞｰﾄ</t>
  </si>
  <si>
    <t>材料単価_弁ｸﾞﾛｰﾌﾞ</t>
  </si>
  <si>
    <t>材料単価_弁ﾎﾞｰﾙ</t>
  </si>
  <si>
    <t>材料単価_弁ﾌﾟﾗｸﾞ</t>
  </si>
  <si>
    <t>材料単価_弁ﾊﾞﾀﾌﾗｲ</t>
  </si>
  <si>
    <t>材料単価_弁ﾀﾞｲﾔﾌﾗﾑ</t>
  </si>
  <si>
    <t>材料単価_弁逆止</t>
  </si>
  <si>
    <t>重量_配管</t>
    <phoneticPr fontId="2"/>
  </si>
  <si>
    <t>材質配管非溶接</t>
    <rPh sb="0" eb="2">
      <t>ザイシツ</t>
    </rPh>
    <rPh sb="2" eb="4">
      <t>ハイカン</t>
    </rPh>
    <rPh sb="4" eb="5">
      <t>ヒ</t>
    </rPh>
    <rPh sb="5" eb="7">
      <t>ヨウセツ</t>
    </rPh>
    <phoneticPr fontId="2"/>
  </si>
  <si>
    <t>塗料</t>
    <rPh sb="0" eb="2">
      <t>トリョウ</t>
    </rPh>
    <phoneticPr fontId="2"/>
  </si>
  <si>
    <t>↑材料単価_断熱(固定)</t>
    <rPh sb="1" eb="3">
      <t>ザイリョウ</t>
    </rPh>
    <rPh sb="3" eb="5">
      <t>タンカ</t>
    </rPh>
    <rPh sb="6" eb="8">
      <t>ダンネツ</t>
    </rPh>
    <rPh sb="9" eb="11">
      <t>コテイ</t>
    </rPh>
    <phoneticPr fontId="2"/>
  </si>
  <si>
    <t>ﾎﾟﾘｳﾚﾀﾝ</t>
    <phoneticPr fontId="2"/>
  </si>
  <si>
    <t>■材料単価</t>
  </si>
  <si>
    <t>ｽﾁﾛｰﾙ</t>
    <phoneticPr fontId="2"/>
  </si>
  <si>
    <t>ｸﾞﾗｽｳｰﾙ</t>
    <phoneticPr fontId="2"/>
  </si>
  <si>
    <t>ﾛｯｸｳｰﾙ</t>
    <phoneticPr fontId="2"/>
  </si>
  <si>
    <t>ｹｲｶﾙｴｰｽ</t>
  </si>
  <si>
    <t>■材料単価</t>
    <rPh sb="3" eb="5">
      <t>タンカ</t>
    </rPh>
    <phoneticPr fontId="2"/>
  </si>
  <si>
    <t>ﾊﾟｰﾗｲﾄ</t>
  </si>
  <si>
    <t>↑工数歩掛_断熱(固定)</t>
    <rPh sb="1" eb="3">
      <t>コウスウ</t>
    </rPh>
    <rPh sb="3" eb="5">
      <t>ブガカリ</t>
    </rPh>
    <rPh sb="6" eb="8">
      <t>ダンネツ</t>
    </rPh>
    <rPh sb="9" eb="11">
      <t>コテイ</t>
    </rPh>
    <phoneticPr fontId="2"/>
  </si>
  <si>
    <t>■工数歩掛</t>
  </si>
  <si>
    <t>■工数歩掛</t>
    <rPh sb="1" eb="3">
      <t>コウスウ</t>
    </rPh>
    <rPh sb="3" eb="5">
      <t>ブガカリ</t>
    </rPh>
    <phoneticPr fontId="2"/>
  </si>
  <si>
    <t>↑断熱厚さ(固定)</t>
    <rPh sb="1" eb="3">
      <t>ダンネツ</t>
    </rPh>
    <rPh sb="3" eb="4">
      <t>アツ</t>
    </rPh>
    <rPh sb="6" eb="8">
      <t>コテイ</t>
    </rPh>
    <phoneticPr fontId="2"/>
  </si>
  <si>
    <t>ﾎﾟﾘｳﾚﾀﾝ(硬質ｳﾚﾀﾝﾌｫｰﾑ)</t>
  </si>
  <si>
    <t>[mm]</t>
    <phoneticPr fontId="2"/>
  </si>
  <si>
    <t>■断熱厚さ</t>
  </si>
  <si>
    <t>ｽﾁﾛｰﾙ(ﾋﾞｰｽﾞ法ﾎﾟﾘｽﾁﾚﾝﾌｫｰﾑ3号)</t>
  </si>
  <si>
    <t>ｸﾞﾗｽｳｰﾙ(2号)</t>
  </si>
  <si>
    <t>ﾛｯｸｳｰﾙ(1号)</t>
  </si>
  <si>
    <t>ｹｲｶﾙｴｰｽ(ｹｲ酸ｶﾙｼｳﾑ1号-13)</t>
  </si>
  <si>
    <t>ﾊﾟｰﾗｲﾄ(はっ水性ﾊﾟｰﾗｲﾄ4号)</t>
  </si>
  <si>
    <t>平面</t>
  </si>
  <si>
    <t>B</t>
    <phoneticPr fontId="2"/>
  </si>
  <si>
    <t>pl</t>
    <phoneticPr fontId="2"/>
  </si>
  <si>
    <t>cs</t>
    <phoneticPr fontId="2"/>
  </si>
  <si>
    <t>rw</t>
    <phoneticPr fontId="2"/>
  </si>
  <si>
    <t>gw</t>
    <phoneticPr fontId="2"/>
  </si>
  <si>
    <t>sf</t>
    <phoneticPr fontId="2"/>
  </si>
  <si>
    <t>uf</t>
    <phoneticPr fontId="2"/>
  </si>
  <si>
    <t>pl</t>
    <phoneticPr fontId="2"/>
  </si>
  <si>
    <t>cs</t>
    <phoneticPr fontId="2"/>
  </si>
  <si>
    <t>rw</t>
    <phoneticPr fontId="2"/>
  </si>
  <si>
    <t>gw</t>
    <phoneticPr fontId="2"/>
  </si>
  <si>
    <t>uf</t>
    <phoneticPr fontId="2"/>
  </si>
  <si>
    <t>uf</t>
    <phoneticPr fontId="2"/>
  </si>
  <si>
    <t>#</t>
    <phoneticPr fontId="2"/>
  </si>
  <si>
    <t>[方/m,m2]</t>
    <rPh sb="1" eb="2">
      <t>カタ</t>
    </rPh>
    <phoneticPr fontId="2"/>
  </si>
  <si>
    <t>[k\/m,m2]</t>
  </si>
  <si>
    <t>[k\/m,m2]</t>
    <phoneticPr fontId="2"/>
  </si>
  <si>
    <t>■係数ｴﾙﾎﾞ</t>
    <rPh sb="1" eb="3">
      <t>ケイスウ</t>
    </rPh>
    <phoneticPr fontId="2"/>
  </si>
  <si>
    <t>ｴﾙﾎﾞ</t>
    <phoneticPr fontId="2"/>
  </si>
  <si>
    <t>E</t>
    <phoneticPr fontId="2"/>
  </si>
  <si>
    <t>T</t>
    <phoneticPr fontId="2"/>
  </si>
  <si>
    <t>[m/pc]</t>
    <phoneticPr fontId="2"/>
  </si>
  <si>
    <t>断熱温度範囲</t>
    <rPh sb="0" eb="2">
      <t>ダンネツ</t>
    </rPh>
    <rPh sb="2" eb="4">
      <t>オンド</t>
    </rPh>
    <rPh sb="4" eb="6">
      <t>ハンイ</t>
    </rPh>
    <phoneticPr fontId="2"/>
  </si>
  <si>
    <t>pl</t>
    <phoneticPr fontId="2"/>
  </si>
  <si>
    <t>cs</t>
    <phoneticPr fontId="2"/>
  </si>
  <si>
    <t>rw</t>
    <phoneticPr fontId="2"/>
  </si>
  <si>
    <t>gw</t>
    <phoneticPr fontId="2"/>
  </si>
  <si>
    <t>sf</t>
    <phoneticPr fontId="2"/>
  </si>
  <si>
    <t>uf</t>
    <phoneticPr fontId="2"/>
  </si>
  <si>
    <t>zzz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</si>
</sst>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name val="ＭＳ Ｐゴシック"/>
      <family val="3"/>
      <charset val="128"/>
    </font>
    <font>
      <sz val="8"/>
      <color theme="1"/>
      <name val="ＭＳ 明朝"/>
      <family val="2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明朝"/>
      <family val="1"/>
      <charset val="128"/>
    </font>
    <font>
      <sz val="8"/>
      <name val="ＭＳ 明朝"/>
      <family val="1"/>
      <charset val="128"/>
    </font>
    <font>
      <sz val="8"/>
      <color theme="1"/>
      <name val="ＭＳ 明朝"/>
      <family val="1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00FFFF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4">
    <xf numFmtId="0" fontId="0" fillId="0" borderId="0"/>
    <xf numFmtId="0" fontId="6" fillId="0" borderId="0">
      <alignment vertical="center"/>
    </xf>
    <xf numFmtId="0" fontId="1" fillId="0" borderId="0">
      <alignment vertical="center"/>
    </xf>
    <xf numFmtId="0" fontId="7" fillId="0" borderId="0"/>
  </cellStyleXfs>
  <cellXfs count="60">
    <xf numFmtId="0" fontId="0" fillId="0" borderId="0" xfId="0"/>
    <xf numFmtId="0" fontId="3" fillId="0" borderId="0" xfId="0" applyNumberFormat="1" applyFont="1" applyAlignment="1" applyProtection="1">
      <alignment horizontal="center"/>
    </xf>
    <xf numFmtId="0" fontId="4" fillId="0" borderId="0" xfId="0" applyNumberFormat="1" applyFont="1" applyProtection="1"/>
    <xf numFmtId="0" fontId="3" fillId="0" borderId="0" xfId="0" applyNumberFormat="1" applyFont="1" applyProtection="1"/>
    <xf numFmtId="0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Protection="1"/>
    <xf numFmtId="0" fontId="3" fillId="0" borderId="0" xfId="0" applyNumberFormat="1" applyFont="1" applyFill="1" applyProtection="1"/>
    <xf numFmtId="0" fontId="3" fillId="3" borderId="0" xfId="0" applyNumberFormat="1" applyFont="1" applyFill="1" applyAlignment="1" applyProtection="1">
      <alignment horizontal="center"/>
    </xf>
    <xf numFmtId="0" fontId="3" fillId="0" borderId="0" xfId="0" applyNumberFormat="1" applyFont="1" applyAlignment="1" applyProtection="1"/>
    <xf numFmtId="0" fontId="4" fillId="0" borderId="0" xfId="0" applyNumberFormat="1" applyFont="1" applyAlignment="1" applyProtection="1"/>
    <xf numFmtId="0" fontId="3" fillId="0" borderId="0" xfId="0" quotePrefix="1" applyNumberFormat="1" applyFont="1" applyAlignment="1" applyProtection="1"/>
    <xf numFmtId="0" fontId="3" fillId="0" borderId="0" xfId="0" quotePrefix="1" applyNumberFormat="1" applyFont="1" applyFill="1" applyAlignment="1" applyProtection="1"/>
    <xf numFmtId="0" fontId="3" fillId="0" borderId="0" xfId="0" applyNumberFormat="1" applyFont="1" applyBorder="1" applyAlignment="1" applyProtection="1"/>
    <xf numFmtId="0" fontId="3" fillId="0" borderId="0" xfId="0" applyNumberFormat="1" applyFont="1" applyFill="1" applyAlignment="1" applyProtection="1"/>
    <xf numFmtId="0" fontId="3" fillId="3" borderId="0" xfId="0" applyNumberFormat="1" applyFont="1" applyFill="1" applyAlignment="1" applyProtection="1"/>
    <xf numFmtId="0" fontId="4" fillId="3" borderId="0" xfId="0" applyNumberFormat="1" applyFont="1" applyFill="1" applyProtection="1"/>
    <xf numFmtId="2" fontId="3" fillId="0" borderId="0" xfId="0" applyNumberFormat="1" applyFont="1" applyAlignment="1" applyProtection="1">
      <alignment horizontal="center"/>
    </xf>
    <xf numFmtId="0" fontId="3" fillId="4" borderId="0" xfId="0" applyNumberFormat="1" applyFont="1" applyFill="1" applyAlignment="1" applyProtection="1">
      <alignment horizontal="center"/>
    </xf>
    <xf numFmtId="0" fontId="3" fillId="4" borderId="0" xfId="0" applyNumberFormat="1" applyFont="1" applyFill="1" applyAlignment="1" applyProtection="1"/>
    <xf numFmtId="0" fontId="3" fillId="4" borderId="0" xfId="0" applyFont="1" applyFill="1"/>
    <xf numFmtId="0" fontId="3" fillId="5" borderId="0" xfId="0" applyNumberFormat="1" applyFont="1" applyFill="1" applyAlignment="1" applyProtection="1">
      <alignment horizontal="center"/>
    </xf>
    <xf numFmtId="2" fontId="3" fillId="5" borderId="0" xfId="0" applyNumberFormat="1" applyFont="1" applyFill="1" applyAlignment="1" applyProtection="1">
      <alignment horizontal="center"/>
    </xf>
    <xf numFmtId="0" fontId="3" fillId="6" borderId="0" xfId="0" applyNumberFormat="1" applyFont="1" applyFill="1" applyAlignment="1" applyProtection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0" fontId="5" fillId="4" borderId="1" xfId="0" applyFont="1" applyFill="1" applyBorder="1" applyAlignment="1">
      <alignment horizontal="centerContinuous" vertical="center"/>
    </xf>
    <xf numFmtId="0" fontId="5" fillId="5" borderId="1" xfId="0" applyFont="1" applyFill="1" applyBorder="1" applyAlignment="1">
      <alignment vertical="center"/>
    </xf>
    <xf numFmtId="0" fontId="4" fillId="0" borderId="0" xfId="0" applyNumberFormat="1" applyFont="1" applyFill="1" applyProtection="1"/>
    <xf numFmtId="0" fontId="1" fillId="0" borderId="1" xfId="2" applyBorder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0" xfId="0" applyNumberFormat="1" applyFont="1" applyAlignment="1" applyProtection="1"/>
    <xf numFmtId="0" fontId="5" fillId="3" borderId="0" xfId="0" applyNumberFormat="1" applyFont="1" applyFill="1" applyAlignment="1" applyProtection="1"/>
    <xf numFmtId="0" fontId="5" fillId="3" borderId="0" xfId="0" applyNumberFormat="1" applyFont="1" applyFill="1" applyBorder="1" applyAlignment="1" applyProtection="1"/>
    <xf numFmtId="0" fontId="5" fillId="3" borderId="0" xfId="0" applyNumberFormat="1" applyFont="1" applyFill="1" applyBorder="1" applyAlignment="1" applyProtection="1">
      <protection locked="0"/>
    </xf>
    <xf numFmtId="0" fontId="5" fillId="0" borderId="0" xfId="0" applyNumberFormat="1" applyFont="1" applyAlignment="1"/>
    <xf numFmtId="0" fontId="5" fillId="0" borderId="2" xfId="0" applyNumberFormat="1" applyFont="1" applyBorder="1" applyAlignment="1"/>
    <xf numFmtId="0" fontId="5" fillId="0" borderId="3" xfId="0" applyNumberFormat="1" applyFont="1" applyBorder="1" applyAlignment="1"/>
    <xf numFmtId="0" fontId="5" fillId="0" borderId="0" xfId="0" applyNumberFormat="1" applyFont="1" applyBorder="1" applyAlignment="1" applyProtection="1"/>
    <xf numFmtId="0" fontId="5" fillId="0" borderId="0" xfId="0" quotePrefix="1" applyNumberFormat="1" applyFont="1" applyAlignment="1"/>
    <xf numFmtId="0" fontId="5" fillId="0" borderId="0" xfId="0" applyNumberFormat="1" applyFont="1" applyFill="1" applyBorder="1" applyAlignment="1" applyProtection="1"/>
    <xf numFmtId="0" fontId="5" fillId="0" borderId="4" xfId="0" applyNumberFormat="1" applyFont="1" applyBorder="1" applyAlignment="1"/>
    <xf numFmtId="0" fontId="5" fillId="0" borderId="0" xfId="0" applyNumberFormat="1" applyFont="1" applyBorder="1" applyAlignment="1"/>
    <xf numFmtId="0" fontId="5" fillId="0" borderId="0" xfId="0" applyNumberFormat="1" applyFont="1" applyFill="1" applyAlignment="1"/>
    <xf numFmtId="0" fontId="5" fillId="0" borderId="0" xfId="0" applyNumberFormat="1" applyFont="1" applyAlignment="1" applyProtection="1">
      <protection locked="0"/>
    </xf>
    <xf numFmtId="0" fontId="5" fillId="0" borderId="0" xfId="0" applyNumberFormat="1" applyFont="1" applyBorder="1" applyAlignment="1" applyProtection="1">
      <protection locked="0"/>
    </xf>
    <xf numFmtId="0" fontId="5" fillId="0" borderId="3" xfId="0" applyNumberFormat="1" applyFont="1" applyBorder="1" applyAlignment="1" applyProtection="1"/>
    <xf numFmtId="0" fontId="5" fillId="0" borderId="2" xfId="0" applyNumberFormat="1" applyFont="1" applyBorder="1" applyAlignment="1" applyProtection="1"/>
    <xf numFmtId="0" fontId="5" fillId="0" borderId="2" xfId="0" applyNumberFormat="1" applyFont="1" applyBorder="1" applyAlignment="1" applyProtection="1">
      <protection locked="0"/>
    </xf>
    <xf numFmtId="0" fontId="5" fillId="0" borderId="3" xfId="0" applyNumberFormat="1" applyFont="1" applyBorder="1" applyAlignment="1" applyProtection="1">
      <protection locked="0"/>
    </xf>
    <xf numFmtId="0" fontId="5" fillId="0" borderId="0" xfId="0" applyNumberFormat="1" applyFont="1" applyFill="1" applyBorder="1" applyAlignment="1" applyProtection="1">
      <protection locked="0"/>
    </xf>
    <xf numFmtId="0" fontId="5" fillId="0" borderId="0" xfId="0" quotePrefix="1" applyNumberFormat="1" applyFont="1" applyAlignment="1" applyProtection="1"/>
    <xf numFmtId="0" fontId="5" fillId="0" borderId="0" xfId="0" applyNumberFormat="1" applyFont="1" applyFill="1" applyAlignment="1" applyProtection="1"/>
    <xf numFmtId="0" fontId="5" fillId="4" borderId="0" xfId="0" applyNumberFormat="1" applyFont="1" applyFill="1" applyAlignment="1" applyProtection="1"/>
    <xf numFmtId="0" fontId="5" fillId="4" borderId="0" xfId="0" applyNumberFormat="1" applyFont="1" applyFill="1" applyBorder="1" applyAlignment="1" applyProtection="1"/>
    <xf numFmtId="0" fontId="5" fillId="4" borderId="0" xfId="0" applyNumberFormat="1" applyFont="1" applyFill="1" applyBorder="1" applyAlignment="1" applyProtection="1">
      <protection locked="0"/>
    </xf>
    <xf numFmtId="0" fontId="5" fillId="4" borderId="0" xfId="0" applyNumberFormat="1" applyFont="1" applyFill="1" applyAlignment="1" applyProtection="1">
      <protection locked="0"/>
    </xf>
    <xf numFmtId="0" fontId="5" fillId="4" borderId="0" xfId="0" applyNumberFormat="1" applyFont="1" applyFill="1" applyAlignment="1"/>
    <xf numFmtId="2" fontId="3" fillId="7" borderId="0" xfId="0" applyNumberFormat="1" applyFont="1" applyFill="1" applyAlignment="1" applyProtection="1">
      <alignment horizontal="center"/>
    </xf>
  </cellXfs>
  <cellStyles count="4">
    <cellStyle name="標準" xfId="0" builtinId="0"/>
    <cellStyle name="標準 2" xfId="1"/>
    <cellStyle name="標準 3" xfId="3"/>
    <cellStyle name="標準 4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253"/>
  <sheetViews>
    <sheetView tabSelected="1" zoomScale="85" zoomScaleNormal="85" workbookViewId="0">
      <pane ySplit="3" topLeftCell="A139" activePane="bottomLeft" state="frozen"/>
      <selection pane="bottomLeft" activeCell="F145" sqref="F145"/>
    </sheetView>
  </sheetViews>
  <sheetFormatPr defaultRowHeight="13.5" outlineLevelRow="1"/>
  <cols>
    <col min="1" max="1" width="16.125" style="11" customWidth="1"/>
    <col min="2" max="2" width="6.625" style="11" customWidth="1"/>
    <col min="3" max="3" width="13" style="11" customWidth="1"/>
    <col min="4" max="4" width="4" style="11" bestFit="1" customWidth="1"/>
    <col min="5" max="10" width="3.625" style="2" customWidth="1"/>
    <col min="11" max="11" width="3.625" customWidth="1"/>
    <col min="12" max="53" width="3.625" style="2" customWidth="1"/>
    <col min="54" max="54" width="3.75" style="2" customWidth="1"/>
    <col min="55" max="55" width="3.875" style="2" customWidth="1"/>
    <col min="56" max="16384" width="9" style="2"/>
  </cols>
  <sheetData>
    <row r="1" spans="1:50">
      <c r="A1" s="10"/>
      <c r="B1" s="10"/>
      <c r="C1" s="10"/>
      <c r="D1" s="10" t="s">
        <v>47</v>
      </c>
      <c r="E1" s="1">
        <v>6</v>
      </c>
      <c r="F1" s="1">
        <v>8</v>
      </c>
      <c r="G1" s="1">
        <v>10</v>
      </c>
      <c r="H1" s="1">
        <v>15</v>
      </c>
      <c r="I1" s="3">
        <v>20</v>
      </c>
      <c r="J1" s="1">
        <v>25</v>
      </c>
      <c r="K1" s="1">
        <v>32</v>
      </c>
      <c r="L1" s="1">
        <v>40</v>
      </c>
      <c r="M1" s="1">
        <v>50</v>
      </c>
      <c r="N1" s="1">
        <v>65</v>
      </c>
      <c r="O1" s="1">
        <v>80</v>
      </c>
      <c r="P1" s="1">
        <v>90</v>
      </c>
      <c r="Q1" s="1">
        <v>100</v>
      </c>
      <c r="R1" s="1">
        <v>125</v>
      </c>
      <c r="S1" s="1">
        <v>150</v>
      </c>
      <c r="T1" s="1">
        <v>175</v>
      </c>
      <c r="U1" s="1">
        <v>200</v>
      </c>
      <c r="V1" s="1">
        <v>225</v>
      </c>
      <c r="W1" s="1">
        <v>250</v>
      </c>
      <c r="X1" s="1">
        <v>300</v>
      </c>
      <c r="Y1" s="1">
        <v>350</v>
      </c>
      <c r="Z1" s="1">
        <v>400</v>
      </c>
      <c r="AA1" s="1">
        <v>450</v>
      </c>
      <c r="AB1" s="1">
        <v>500</v>
      </c>
      <c r="AC1" s="1">
        <v>550</v>
      </c>
      <c r="AD1" s="1">
        <v>600</v>
      </c>
      <c r="AE1" s="1">
        <v>650</v>
      </c>
      <c r="AF1" s="1">
        <v>700</v>
      </c>
      <c r="AG1" s="1">
        <v>750</v>
      </c>
      <c r="AH1" s="1">
        <v>800</v>
      </c>
      <c r="AI1" s="1">
        <v>850</v>
      </c>
      <c r="AJ1" s="1">
        <v>900</v>
      </c>
      <c r="AK1" s="1">
        <v>1000</v>
      </c>
      <c r="AL1" s="1">
        <v>1100</v>
      </c>
      <c r="AM1" s="1">
        <v>1200</v>
      </c>
      <c r="AN1" s="1">
        <v>1350</v>
      </c>
      <c r="AO1" s="1">
        <v>1500</v>
      </c>
      <c r="AP1" s="1">
        <v>1600</v>
      </c>
      <c r="AQ1" s="1">
        <v>1800</v>
      </c>
      <c r="AR1" s="1">
        <v>2000</v>
      </c>
      <c r="AS1" s="19" t="s">
        <v>49</v>
      </c>
      <c r="AT1" s="1"/>
      <c r="AU1" s="1"/>
      <c r="AV1" s="1"/>
      <c r="AW1" s="1"/>
      <c r="AX1" s="1"/>
    </row>
    <row r="2" spans="1:50">
      <c r="A2" s="10" t="s">
        <v>265</v>
      </c>
      <c r="B2" s="10" t="s">
        <v>266</v>
      </c>
      <c r="C2" s="10" t="s">
        <v>267</v>
      </c>
      <c r="D2" s="10" t="s">
        <v>46</v>
      </c>
      <c r="E2" s="1">
        <v>0.125</v>
      </c>
      <c r="F2" s="1">
        <v>0.25</v>
      </c>
      <c r="G2" s="1">
        <v>0.375</v>
      </c>
      <c r="H2" s="1">
        <v>0.5</v>
      </c>
      <c r="I2" s="1">
        <v>0.75</v>
      </c>
      <c r="J2" s="1">
        <v>1</v>
      </c>
      <c r="K2" s="1">
        <v>1.25</v>
      </c>
      <c r="L2" s="1">
        <v>1.5</v>
      </c>
      <c r="M2" s="1">
        <v>2</v>
      </c>
      <c r="N2" s="1">
        <v>2.5</v>
      </c>
      <c r="O2" s="1">
        <v>3</v>
      </c>
      <c r="P2" s="1">
        <v>3.5</v>
      </c>
      <c r="Q2" s="1">
        <v>4</v>
      </c>
      <c r="R2" s="1">
        <v>5</v>
      </c>
      <c r="S2" s="1">
        <v>6</v>
      </c>
      <c r="T2" s="1">
        <v>7</v>
      </c>
      <c r="U2" s="1">
        <v>8</v>
      </c>
      <c r="V2" s="1">
        <v>9</v>
      </c>
      <c r="W2" s="1">
        <v>10</v>
      </c>
      <c r="X2" s="1">
        <v>12</v>
      </c>
      <c r="Y2" s="1">
        <v>14</v>
      </c>
      <c r="Z2" s="1">
        <v>16</v>
      </c>
      <c r="AA2" s="1">
        <v>18</v>
      </c>
      <c r="AB2" s="1">
        <v>20</v>
      </c>
      <c r="AC2" s="1">
        <v>22</v>
      </c>
      <c r="AD2" s="1">
        <v>24</v>
      </c>
      <c r="AE2" s="1">
        <v>26</v>
      </c>
      <c r="AF2" s="1">
        <v>28</v>
      </c>
      <c r="AG2" s="1">
        <v>30</v>
      </c>
      <c r="AH2" s="1">
        <v>32</v>
      </c>
      <c r="AI2" s="1">
        <v>34</v>
      </c>
      <c r="AJ2" s="1">
        <v>36</v>
      </c>
      <c r="AK2" s="1">
        <v>40</v>
      </c>
      <c r="AL2" s="1">
        <v>44</v>
      </c>
      <c r="AM2" s="1">
        <v>48</v>
      </c>
      <c r="AN2" s="1">
        <v>54</v>
      </c>
      <c r="AO2" s="1">
        <v>60</v>
      </c>
      <c r="AP2" s="1">
        <v>64</v>
      </c>
      <c r="AQ2" s="1">
        <v>72</v>
      </c>
      <c r="AR2" s="1">
        <v>80</v>
      </c>
      <c r="AS2" s="19" t="s">
        <v>49</v>
      </c>
      <c r="AT2" s="1"/>
      <c r="AU2" s="1"/>
      <c r="AV2" s="1"/>
      <c r="AW2" s="1"/>
      <c r="AX2" s="1"/>
    </row>
    <row r="3" spans="1:50">
      <c r="A3" s="12"/>
      <c r="B3" s="12"/>
      <c r="C3" s="10"/>
      <c r="D3" s="10"/>
      <c r="AR3" s="1"/>
      <c r="AS3" s="19" t="s">
        <v>49</v>
      </c>
      <c r="AT3" s="1"/>
      <c r="AU3" s="1"/>
      <c r="AV3" s="1"/>
      <c r="AW3" s="1"/>
      <c r="AX3" s="1"/>
    </row>
    <row r="4" spans="1:50">
      <c r="A4" s="10"/>
      <c r="B4" s="10"/>
      <c r="C4" s="10"/>
      <c r="D4" s="10"/>
      <c r="E4" s="1"/>
      <c r="F4" s="1"/>
      <c r="G4" s="1"/>
      <c r="H4" s="1"/>
      <c r="I4" s="1"/>
      <c r="J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9" t="s">
        <v>49</v>
      </c>
      <c r="AT4" s="1"/>
      <c r="AU4" s="1"/>
      <c r="AV4" s="1"/>
      <c r="AW4" s="1"/>
      <c r="AX4" s="1"/>
    </row>
    <row r="5" spans="1:50" outlineLevel="1">
      <c r="A5" s="10" t="s">
        <v>105</v>
      </c>
      <c r="B5" s="12" t="s">
        <v>40</v>
      </c>
      <c r="C5" s="10" t="s">
        <v>1</v>
      </c>
      <c r="D5" s="10" t="s">
        <v>53</v>
      </c>
      <c r="E5" s="18"/>
      <c r="F5" s="18"/>
      <c r="G5" s="18"/>
      <c r="H5" s="18">
        <v>0.25</v>
      </c>
      <c r="I5" s="18">
        <v>0.27</v>
      </c>
      <c r="J5" s="18">
        <v>0.28999999999999998</v>
      </c>
      <c r="L5" s="18">
        <v>0.31</v>
      </c>
      <c r="M5" s="18">
        <v>0.37</v>
      </c>
      <c r="N5" s="18">
        <v>0.43</v>
      </c>
      <c r="O5" s="18">
        <v>0.49</v>
      </c>
      <c r="P5" s="18"/>
      <c r="Q5" s="18">
        <v>0.57999999999999996</v>
      </c>
      <c r="R5" s="18">
        <v>0.75</v>
      </c>
      <c r="S5" s="18">
        <v>0.9</v>
      </c>
      <c r="T5" s="18"/>
      <c r="U5" s="18">
        <v>1.28</v>
      </c>
      <c r="V5" s="18"/>
      <c r="W5" s="18">
        <v>1.59</v>
      </c>
      <c r="X5" s="18">
        <v>1.89</v>
      </c>
      <c r="Y5" s="1"/>
      <c r="Z5" s="1"/>
      <c r="AA5" s="1"/>
      <c r="AB5" s="5"/>
      <c r="AC5" s="22" t="s">
        <v>97</v>
      </c>
      <c r="AD5" s="22" t="s">
        <v>97</v>
      </c>
      <c r="AE5" s="22" t="s">
        <v>97</v>
      </c>
      <c r="AF5" s="22" t="s">
        <v>97</v>
      </c>
      <c r="AG5" s="22" t="s">
        <v>97</v>
      </c>
      <c r="AH5" s="22" t="s">
        <v>97</v>
      </c>
      <c r="AI5" s="22" t="s">
        <v>97</v>
      </c>
      <c r="AJ5" s="22" t="s">
        <v>97</v>
      </c>
      <c r="AK5" s="22" t="s">
        <v>97</v>
      </c>
      <c r="AL5" s="22" t="s">
        <v>97</v>
      </c>
      <c r="AM5" s="22" t="s">
        <v>97</v>
      </c>
      <c r="AN5" s="22" t="s">
        <v>97</v>
      </c>
      <c r="AO5" s="22" t="s">
        <v>97</v>
      </c>
      <c r="AP5" s="22" t="s">
        <v>97</v>
      </c>
      <c r="AQ5" s="22" t="s">
        <v>97</v>
      </c>
      <c r="AR5" s="22" t="s">
        <v>97</v>
      </c>
      <c r="AS5" s="19" t="s">
        <v>49</v>
      </c>
      <c r="AT5" s="1"/>
      <c r="AU5" s="1"/>
      <c r="AV5" s="1"/>
      <c r="AW5" s="1"/>
      <c r="AX5" s="1"/>
    </row>
    <row r="6" spans="1:50" outlineLevel="1">
      <c r="A6" s="10" t="s">
        <v>105</v>
      </c>
      <c r="B6" s="12" t="s">
        <v>40</v>
      </c>
      <c r="C6" s="10" t="s">
        <v>50</v>
      </c>
      <c r="D6" s="10" t="s">
        <v>108</v>
      </c>
      <c r="E6" s="18"/>
      <c r="F6" s="18"/>
      <c r="G6" s="18"/>
      <c r="H6" s="18">
        <v>0.25</v>
      </c>
      <c r="I6" s="18">
        <v>0.27</v>
      </c>
      <c r="J6" s="18">
        <v>0.28999999999999998</v>
      </c>
      <c r="L6" s="18">
        <v>0.31</v>
      </c>
      <c r="M6" s="18">
        <v>0.37</v>
      </c>
      <c r="N6" s="18">
        <v>0.43</v>
      </c>
      <c r="O6" s="18">
        <v>0.49</v>
      </c>
      <c r="P6" s="18"/>
      <c r="Q6" s="18">
        <v>0.57999999999999996</v>
      </c>
      <c r="R6" s="18">
        <v>0.75</v>
      </c>
      <c r="S6" s="18">
        <v>0.91</v>
      </c>
      <c r="T6" s="18"/>
      <c r="U6" s="18">
        <v>1.28</v>
      </c>
      <c r="V6" s="18"/>
      <c r="W6" s="18">
        <v>1.59</v>
      </c>
      <c r="X6" s="18">
        <v>1.89</v>
      </c>
      <c r="Y6" s="1"/>
      <c r="Z6" s="1"/>
      <c r="AA6" s="1"/>
      <c r="AB6" s="1"/>
      <c r="AC6" s="22" t="s">
        <v>97</v>
      </c>
      <c r="AD6" s="22" t="s">
        <v>97</v>
      </c>
      <c r="AE6" s="22" t="s">
        <v>97</v>
      </c>
      <c r="AF6" s="22" t="s">
        <v>97</v>
      </c>
      <c r="AG6" s="22" t="s">
        <v>97</v>
      </c>
      <c r="AH6" s="22" t="s">
        <v>97</v>
      </c>
      <c r="AI6" s="22" t="s">
        <v>97</v>
      </c>
      <c r="AJ6" s="22" t="s">
        <v>97</v>
      </c>
      <c r="AK6" s="22" t="s">
        <v>97</v>
      </c>
      <c r="AL6" s="22" t="s">
        <v>97</v>
      </c>
      <c r="AM6" s="22" t="s">
        <v>97</v>
      </c>
      <c r="AN6" s="22" t="s">
        <v>97</v>
      </c>
      <c r="AO6" s="22" t="s">
        <v>97</v>
      </c>
      <c r="AP6" s="22" t="s">
        <v>97</v>
      </c>
      <c r="AQ6" s="22" t="s">
        <v>97</v>
      </c>
      <c r="AR6" s="22" t="s">
        <v>97</v>
      </c>
      <c r="AS6" s="19" t="s">
        <v>49</v>
      </c>
      <c r="AT6" s="1"/>
      <c r="AU6" s="1"/>
      <c r="AV6" s="1"/>
      <c r="AW6" s="1"/>
      <c r="AX6" s="1"/>
    </row>
    <row r="7" spans="1:50" outlineLevel="1">
      <c r="A7" s="10" t="s">
        <v>105</v>
      </c>
      <c r="B7" s="12" t="s">
        <v>40</v>
      </c>
      <c r="C7" s="14" t="s">
        <v>14</v>
      </c>
      <c r="D7" s="10" t="s">
        <v>54</v>
      </c>
      <c r="E7" s="18"/>
      <c r="F7" s="18"/>
      <c r="G7" s="18"/>
      <c r="H7" s="18">
        <v>0.3</v>
      </c>
      <c r="I7" s="18">
        <v>0.31</v>
      </c>
      <c r="J7" s="18">
        <v>0.34</v>
      </c>
      <c r="L7" s="18">
        <v>0.37</v>
      </c>
      <c r="M7" s="18">
        <v>0.43</v>
      </c>
      <c r="N7" s="18">
        <v>0.53</v>
      </c>
      <c r="O7" s="18">
        <v>0.62</v>
      </c>
      <c r="P7" s="18"/>
      <c r="Q7" s="18">
        <v>0.8</v>
      </c>
      <c r="R7" s="18">
        <v>1.17</v>
      </c>
      <c r="S7" s="18">
        <v>1.53</v>
      </c>
      <c r="T7" s="23" t="s">
        <v>97</v>
      </c>
      <c r="U7" s="18">
        <v>2.4</v>
      </c>
      <c r="V7" s="23" t="s">
        <v>97</v>
      </c>
      <c r="W7" s="18">
        <v>3.03</v>
      </c>
      <c r="X7" s="18">
        <v>3.66</v>
      </c>
      <c r="Y7" s="1"/>
      <c r="Z7" s="1"/>
      <c r="AA7" s="1"/>
      <c r="AB7" s="1"/>
      <c r="AC7" s="22" t="s">
        <v>97</v>
      </c>
      <c r="AD7" s="22" t="s">
        <v>97</v>
      </c>
      <c r="AE7" s="22" t="s">
        <v>97</v>
      </c>
      <c r="AF7" s="22" t="s">
        <v>97</v>
      </c>
      <c r="AG7" s="22" t="s">
        <v>97</v>
      </c>
      <c r="AH7" s="22" t="s">
        <v>97</v>
      </c>
      <c r="AI7" s="22" t="s">
        <v>97</v>
      </c>
      <c r="AJ7" s="22" t="s">
        <v>97</v>
      </c>
      <c r="AK7" s="22" t="s">
        <v>97</v>
      </c>
      <c r="AL7" s="22" t="s">
        <v>97</v>
      </c>
      <c r="AM7" s="22" t="s">
        <v>97</v>
      </c>
      <c r="AN7" s="22" t="s">
        <v>97</v>
      </c>
      <c r="AO7" s="22" t="s">
        <v>97</v>
      </c>
      <c r="AP7" s="22" t="s">
        <v>97</v>
      </c>
      <c r="AQ7" s="22" t="s">
        <v>97</v>
      </c>
      <c r="AR7" s="22" t="s">
        <v>97</v>
      </c>
      <c r="AS7" s="19" t="s">
        <v>49</v>
      </c>
      <c r="AT7" s="1"/>
      <c r="AU7" s="1"/>
      <c r="AV7" s="1"/>
      <c r="AW7" s="1"/>
      <c r="AX7" s="1"/>
    </row>
    <row r="8" spans="1:50" outlineLevel="1">
      <c r="A8" s="10" t="s">
        <v>105</v>
      </c>
      <c r="B8" s="12" t="s">
        <v>40</v>
      </c>
      <c r="C8" s="14" t="s">
        <v>19</v>
      </c>
      <c r="D8" s="10" t="s">
        <v>55</v>
      </c>
      <c r="E8" s="18"/>
      <c r="F8" s="18"/>
      <c r="G8" s="18"/>
      <c r="H8" s="18">
        <v>0.25</v>
      </c>
      <c r="I8" s="18">
        <v>0.27</v>
      </c>
      <c r="J8" s="18">
        <v>0.3</v>
      </c>
      <c r="L8" s="18">
        <v>0.32</v>
      </c>
      <c r="M8" s="18">
        <v>0.38</v>
      </c>
      <c r="N8" s="18">
        <v>0.46</v>
      </c>
      <c r="O8" s="18">
        <v>0.55000000000000004</v>
      </c>
      <c r="P8" s="18"/>
      <c r="Q8" s="18">
        <v>0.66</v>
      </c>
      <c r="R8" s="18">
        <v>0.89</v>
      </c>
      <c r="S8" s="18">
        <v>1.1200000000000001</v>
      </c>
      <c r="T8" s="23" t="s">
        <v>97</v>
      </c>
      <c r="U8" s="18">
        <v>1.66</v>
      </c>
      <c r="V8" s="23" t="s">
        <v>97</v>
      </c>
      <c r="W8" s="18">
        <v>2.13</v>
      </c>
      <c r="X8" s="18">
        <v>2.57</v>
      </c>
      <c r="Y8" s="1"/>
      <c r="Z8" s="1"/>
      <c r="AA8" s="1"/>
      <c r="AB8" s="1"/>
      <c r="AC8" s="22" t="s">
        <v>97</v>
      </c>
      <c r="AD8" s="22" t="s">
        <v>97</v>
      </c>
      <c r="AE8" s="22" t="s">
        <v>97</v>
      </c>
      <c r="AF8" s="22" t="s">
        <v>97</v>
      </c>
      <c r="AG8" s="22" t="s">
        <v>97</v>
      </c>
      <c r="AH8" s="22" t="s">
        <v>97</v>
      </c>
      <c r="AI8" s="22" t="s">
        <v>97</v>
      </c>
      <c r="AJ8" s="22" t="s">
        <v>97</v>
      </c>
      <c r="AK8" s="22" t="s">
        <v>97</v>
      </c>
      <c r="AL8" s="22" t="s">
        <v>97</v>
      </c>
      <c r="AM8" s="22" t="s">
        <v>97</v>
      </c>
      <c r="AN8" s="22" t="s">
        <v>97</v>
      </c>
      <c r="AO8" s="22" t="s">
        <v>97</v>
      </c>
      <c r="AP8" s="22" t="s">
        <v>97</v>
      </c>
      <c r="AQ8" s="22" t="s">
        <v>97</v>
      </c>
      <c r="AR8" s="22" t="s">
        <v>97</v>
      </c>
      <c r="AS8" s="19" t="s">
        <v>49</v>
      </c>
      <c r="AT8" s="1"/>
      <c r="AU8" s="1"/>
      <c r="AV8" s="1"/>
      <c r="AW8" s="1"/>
      <c r="AX8" s="1"/>
    </row>
    <row r="9" spans="1:50" outlineLevel="1">
      <c r="A9" s="10" t="s">
        <v>105</v>
      </c>
      <c r="B9" s="12" t="s">
        <v>40</v>
      </c>
      <c r="C9" s="14" t="s">
        <v>23</v>
      </c>
      <c r="D9" s="10" t="s">
        <v>56</v>
      </c>
      <c r="E9" s="18"/>
      <c r="F9" s="18"/>
      <c r="G9" s="18"/>
      <c r="H9" s="18">
        <v>0.26</v>
      </c>
      <c r="I9" s="18">
        <v>0.28999999999999998</v>
      </c>
      <c r="J9" s="18">
        <v>0.32</v>
      </c>
      <c r="L9" s="18">
        <v>0.34</v>
      </c>
      <c r="M9" s="18">
        <v>0.39</v>
      </c>
      <c r="N9" s="18">
        <v>0.44</v>
      </c>
      <c r="O9" s="18">
        <v>0.5</v>
      </c>
      <c r="P9" s="18"/>
      <c r="Q9" s="18">
        <v>0.57999999999999996</v>
      </c>
      <c r="R9" s="18">
        <v>0.73</v>
      </c>
      <c r="S9" s="18">
        <v>0.88</v>
      </c>
      <c r="T9" s="18"/>
      <c r="U9" s="18">
        <v>1.2</v>
      </c>
      <c r="V9" s="18"/>
      <c r="W9" s="18">
        <v>1.3</v>
      </c>
      <c r="X9" s="18">
        <v>1.5</v>
      </c>
      <c r="Y9" s="22" t="s">
        <v>97</v>
      </c>
      <c r="Z9" s="22" t="s">
        <v>97</v>
      </c>
      <c r="AA9" s="22" t="s">
        <v>97</v>
      </c>
      <c r="AB9" s="22" t="s">
        <v>97</v>
      </c>
      <c r="AC9" s="22" t="s">
        <v>97</v>
      </c>
      <c r="AD9" s="22" t="s">
        <v>97</v>
      </c>
      <c r="AE9" s="22" t="s">
        <v>97</v>
      </c>
      <c r="AF9" s="22" t="s">
        <v>97</v>
      </c>
      <c r="AG9" s="22" t="s">
        <v>97</v>
      </c>
      <c r="AH9" s="22" t="s">
        <v>97</v>
      </c>
      <c r="AI9" s="22" t="s">
        <v>97</v>
      </c>
      <c r="AJ9" s="22" t="s">
        <v>97</v>
      </c>
      <c r="AK9" s="22" t="s">
        <v>97</v>
      </c>
      <c r="AL9" s="22" t="s">
        <v>97</v>
      </c>
      <c r="AM9" s="22" t="s">
        <v>97</v>
      </c>
      <c r="AN9" s="22" t="s">
        <v>97</v>
      </c>
      <c r="AO9" s="22" t="s">
        <v>97</v>
      </c>
      <c r="AP9" s="22" t="s">
        <v>97</v>
      </c>
      <c r="AQ9" s="22" t="s">
        <v>97</v>
      </c>
      <c r="AR9" s="22" t="s">
        <v>97</v>
      </c>
      <c r="AS9" s="19" t="s">
        <v>49</v>
      </c>
      <c r="AT9" s="1"/>
      <c r="AU9" s="1"/>
      <c r="AV9" s="1"/>
      <c r="AW9" s="1"/>
      <c r="AX9" s="1"/>
    </row>
    <row r="10" spans="1:50" outlineLevel="1">
      <c r="A10" s="10" t="s">
        <v>105</v>
      </c>
      <c r="B10" s="12" t="s">
        <v>40</v>
      </c>
      <c r="C10" s="14" t="s">
        <v>28</v>
      </c>
      <c r="D10" s="10" t="s">
        <v>57</v>
      </c>
      <c r="E10" s="18"/>
      <c r="F10" s="18"/>
      <c r="G10" s="18"/>
      <c r="H10" s="18">
        <v>0.3</v>
      </c>
      <c r="I10" s="18">
        <v>0.32</v>
      </c>
      <c r="J10" s="18">
        <v>0.35</v>
      </c>
      <c r="L10" s="18">
        <v>0.39</v>
      </c>
      <c r="M10" s="18">
        <v>0.44</v>
      </c>
      <c r="N10" s="18">
        <v>0.55000000000000004</v>
      </c>
      <c r="O10" s="18">
        <v>0.65</v>
      </c>
      <c r="P10" s="18"/>
      <c r="Q10" s="18">
        <v>0.77</v>
      </c>
      <c r="R10" s="18">
        <v>1.03</v>
      </c>
      <c r="S10" s="18">
        <v>1.3</v>
      </c>
      <c r="T10" s="18"/>
      <c r="U10" s="18">
        <v>1.96</v>
      </c>
      <c r="V10" s="18"/>
      <c r="W10" s="18">
        <v>2.5299999999999998</v>
      </c>
      <c r="X10" s="18">
        <v>3.06</v>
      </c>
      <c r="Y10" s="1"/>
      <c r="Z10" s="1"/>
      <c r="AA10" s="1"/>
      <c r="AB10" s="1"/>
      <c r="AC10" s="1"/>
      <c r="AD10" s="1"/>
      <c r="AE10" s="1"/>
      <c r="AF10" s="22" t="s">
        <v>97</v>
      </c>
      <c r="AG10" s="22" t="s">
        <v>97</v>
      </c>
      <c r="AH10" s="22" t="s">
        <v>97</v>
      </c>
      <c r="AI10" s="22" t="s">
        <v>97</v>
      </c>
      <c r="AJ10" s="22" t="s">
        <v>97</v>
      </c>
      <c r="AK10" s="22" t="s">
        <v>97</v>
      </c>
      <c r="AL10" s="22" t="s">
        <v>97</v>
      </c>
      <c r="AM10" s="22" t="s">
        <v>97</v>
      </c>
      <c r="AN10" s="22" t="s">
        <v>97</v>
      </c>
      <c r="AO10" s="22" t="s">
        <v>97</v>
      </c>
      <c r="AP10" s="22" t="s">
        <v>97</v>
      </c>
      <c r="AQ10" s="22" t="s">
        <v>97</v>
      </c>
      <c r="AR10" s="22" t="s">
        <v>97</v>
      </c>
      <c r="AS10" s="19" t="s">
        <v>49</v>
      </c>
      <c r="AT10" s="1"/>
      <c r="AU10" s="1"/>
      <c r="AV10" s="1"/>
      <c r="AW10" s="1"/>
      <c r="AX10" s="1"/>
    </row>
    <row r="11" spans="1:50" outlineLevel="1">
      <c r="A11" s="10" t="s">
        <v>105</v>
      </c>
      <c r="B11" s="12" t="s">
        <v>40</v>
      </c>
      <c r="C11" s="14" t="s">
        <v>30</v>
      </c>
      <c r="D11" s="10" t="s">
        <v>58</v>
      </c>
      <c r="E11" s="18"/>
      <c r="F11" s="18"/>
      <c r="G11" s="18"/>
      <c r="H11" s="18">
        <v>0.26</v>
      </c>
      <c r="I11" s="18">
        <v>0.28999999999999998</v>
      </c>
      <c r="J11" s="18">
        <v>0.32</v>
      </c>
      <c r="L11" s="18">
        <v>0.34</v>
      </c>
      <c r="M11" s="18">
        <v>0.39</v>
      </c>
      <c r="N11" s="18">
        <v>0.44</v>
      </c>
      <c r="O11" s="18">
        <v>0.5</v>
      </c>
      <c r="P11" s="18"/>
      <c r="Q11" s="18">
        <v>0.57999999999999996</v>
      </c>
      <c r="R11" s="18">
        <v>0.73</v>
      </c>
      <c r="S11" s="18">
        <v>0.88</v>
      </c>
      <c r="T11" s="18"/>
      <c r="U11" s="18">
        <v>1.2</v>
      </c>
      <c r="V11" s="18"/>
      <c r="W11" s="18">
        <v>1.3</v>
      </c>
      <c r="X11" s="18">
        <v>1.5</v>
      </c>
      <c r="Y11" s="22" t="s">
        <v>97</v>
      </c>
      <c r="Z11" s="22" t="s">
        <v>97</v>
      </c>
      <c r="AA11" s="22" t="s">
        <v>97</v>
      </c>
      <c r="AB11" s="22" t="s">
        <v>97</v>
      </c>
      <c r="AC11" s="22" t="s">
        <v>97</v>
      </c>
      <c r="AD11" s="22" t="s">
        <v>97</v>
      </c>
      <c r="AE11" s="22" t="s">
        <v>97</v>
      </c>
      <c r="AF11" s="22" t="s">
        <v>97</v>
      </c>
      <c r="AG11" s="22" t="s">
        <v>97</v>
      </c>
      <c r="AH11" s="22" t="s">
        <v>97</v>
      </c>
      <c r="AI11" s="22" t="s">
        <v>97</v>
      </c>
      <c r="AJ11" s="22" t="s">
        <v>97</v>
      </c>
      <c r="AK11" s="22" t="s">
        <v>97</v>
      </c>
      <c r="AL11" s="22" t="s">
        <v>97</v>
      </c>
      <c r="AM11" s="22" t="s">
        <v>97</v>
      </c>
      <c r="AN11" s="22" t="s">
        <v>97</v>
      </c>
      <c r="AO11" s="22" t="s">
        <v>97</v>
      </c>
      <c r="AP11" s="22" t="s">
        <v>97</v>
      </c>
      <c r="AQ11" s="22" t="s">
        <v>97</v>
      </c>
      <c r="AR11" s="22" t="s">
        <v>97</v>
      </c>
      <c r="AS11" s="19" t="s">
        <v>49</v>
      </c>
      <c r="AT11" s="1"/>
      <c r="AU11" s="1"/>
      <c r="AV11" s="1"/>
      <c r="AW11" s="1"/>
      <c r="AX11" s="1"/>
    </row>
    <row r="12" spans="1:50" outlineLevel="1">
      <c r="A12" s="10" t="s">
        <v>105</v>
      </c>
      <c r="B12" s="12" t="s">
        <v>40</v>
      </c>
      <c r="C12" s="14" t="s">
        <v>33</v>
      </c>
      <c r="D12" s="10" t="s">
        <v>59</v>
      </c>
      <c r="E12" s="18"/>
      <c r="F12" s="18"/>
      <c r="G12" s="18"/>
      <c r="H12" s="18">
        <v>0.3</v>
      </c>
      <c r="I12" s="18">
        <v>0.32</v>
      </c>
      <c r="J12" s="18">
        <v>0.35</v>
      </c>
      <c r="L12" s="18">
        <v>0.39</v>
      </c>
      <c r="M12" s="18">
        <v>0.44</v>
      </c>
      <c r="N12" s="18">
        <v>0.55000000000000004</v>
      </c>
      <c r="O12" s="18">
        <v>0.65</v>
      </c>
      <c r="P12" s="18"/>
      <c r="Q12" s="18">
        <v>0.77</v>
      </c>
      <c r="R12" s="18">
        <v>1.03</v>
      </c>
      <c r="S12" s="18">
        <v>1.3</v>
      </c>
      <c r="T12" s="18"/>
      <c r="U12" s="18">
        <v>1.96</v>
      </c>
      <c r="V12" s="18"/>
      <c r="W12" s="18">
        <v>2.5299999999999998</v>
      </c>
      <c r="X12" s="18">
        <v>3.06</v>
      </c>
      <c r="Y12" s="1"/>
      <c r="Z12" s="1"/>
      <c r="AA12" s="1"/>
      <c r="AB12" s="1"/>
      <c r="AC12" s="1"/>
      <c r="AD12" s="1"/>
      <c r="AE12" s="1"/>
      <c r="AF12" s="22" t="s">
        <v>97</v>
      </c>
      <c r="AG12" s="22" t="s">
        <v>97</v>
      </c>
      <c r="AH12" s="22" t="s">
        <v>97</v>
      </c>
      <c r="AI12" s="22" t="s">
        <v>97</v>
      </c>
      <c r="AJ12" s="22" t="s">
        <v>97</v>
      </c>
      <c r="AK12" s="22" t="s">
        <v>97</v>
      </c>
      <c r="AL12" s="22" t="s">
        <v>97</v>
      </c>
      <c r="AM12" s="22" t="s">
        <v>97</v>
      </c>
      <c r="AN12" s="22" t="s">
        <v>97</v>
      </c>
      <c r="AO12" s="22" t="s">
        <v>97</v>
      </c>
      <c r="AP12" s="22" t="s">
        <v>97</v>
      </c>
      <c r="AQ12" s="22" t="s">
        <v>97</v>
      </c>
      <c r="AR12" s="22" t="s">
        <v>97</v>
      </c>
      <c r="AS12" s="19" t="s">
        <v>49</v>
      </c>
      <c r="AT12" s="1"/>
      <c r="AU12" s="1"/>
      <c r="AV12" s="1"/>
      <c r="AW12" s="1"/>
      <c r="AX12" s="1"/>
    </row>
    <row r="13" spans="1:50" outlineLevel="1">
      <c r="A13" s="10" t="s">
        <v>105</v>
      </c>
      <c r="B13" s="12" t="s">
        <v>40</v>
      </c>
      <c r="C13" s="10" t="s">
        <v>51</v>
      </c>
      <c r="D13" s="10" t="s">
        <v>93</v>
      </c>
      <c r="E13" s="18"/>
      <c r="F13" s="18"/>
      <c r="G13" s="18"/>
      <c r="H13" s="59">
        <f t="shared" ref="H13:X13" si="0">H5*3</f>
        <v>0.75</v>
      </c>
      <c r="I13" s="59">
        <f t="shared" si="0"/>
        <v>0.81</v>
      </c>
      <c r="J13" s="59">
        <f t="shared" si="0"/>
        <v>0.86999999999999988</v>
      </c>
      <c r="L13" s="59">
        <f t="shared" si="0"/>
        <v>0.92999999999999994</v>
      </c>
      <c r="M13" s="59">
        <f t="shared" si="0"/>
        <v>1.1099999999999999</v>
      </c>
      <c r="N13" s="59">
        <f t="shared" si="0"/>
        <v>1.29</v>
      </c>
      <c r="O13" s="59">
        <f t="shared" si="0"/>
        <v>1.47</v>
      </c>
      <c r="P13" s="18"/>
      <c r="Q13" s="59">
        <f t="shared" si="0"/>
        <v>1.7399999999999998</v>
      </c>
      <c r="R13" s="59">
        <f t="shared" si="0"/>
        <v>2.25</v>
      </c>
      <c r="S13" s="59">
        <f t="shared" si="0"/>
        <v>2.7</v>
      </c>
      <c r="T13" s="18"/>
      <c r="U13" s="59">
        <f t="shared" si="0"/>
        <v>3.84</v>
      </c>
      <c r="V13" s="18"/>
      <c r="W13" s="59">
        <f t="shared" si="0"/>
        <v>4.7700000000000005</v>
      </c>
      <c r="X13" s="59">
        <f t="shared" si="0"/>
        <v>5.67</v>
      </c>
      <c r="Y13" s="1"/>
      <c r="Z13" s="1"/>
      <c r="AA13" s="1"/>
      <c r="AB13" s="1"/>
      <c r="AC13" s="22" t="s">
        <v>117</v>
      </c>
      <c r="AD13" s="22" t="s">
        <v>118</v>
      </c>
      <c r="AE13" s="22" t="s">
        <v>114</v>
      </c>
      <c r="AF13" s="22" t="s">
        <v>119</v>
      </c>
      <c r="AG13" s="22" t="s">
        <v>114</v>
      </c>
      <c r="AH13" s="22" t="s">
        <v>120</v>
      </c>
      <c r="AI13" s="22" t="s">
        <v>120</v>
      </c>
      <c r="AJ13" s="22" t="s">
        <v>113</v>
      </c>
      <c r="AK13" s="22" t="s">
        <v>97</v>
      </c>
      <c r="AL13" s="22" t="s">
        <v>119</v>
      </c>
      <c r="AM13" s="22" t="s">
        <v>120</v>
      </c>
      <c r="AN13" s="22" t="s">
        <v>120</v>
      </c>
      <c r="AO13" s="22" t="s">
        <v>118</v>
      </c>
      <c r="AP13" s="22" t="s">
        <v>121</v>
      </c>
      <c r="AQ13" s="22" t="s">
        <v>119</v>
      </c>
      <c r="AR13" s="22" t="s">
        <v>119</v>
      </c>
      <c r="AS13" s="19" t="s">
        <v>49</v>
      </c>
      <c r="AT13" s="1"/>
      <c r="AU13" s="1"/>
      <c r="AV13" s="1"/>
      <c r="AW13" s="1"/>
      <c r="AX13" s="1"/>
    </row>
    <row r="14" spans="1:50" outlineLevel="1">
      <c r="A14" s="10" t="s">
        <v>105</v>
      </c>
      <c r="B14" s="12" t="s">
        <v>40</v>
      </c>
      <c r="C14" s="10" t="s">
        <v>52</v>
      </c>
      <c r="D14" s="10" t="s">
        <v>94</v>
      </c>
      <c r="E14" s="18"/>
      <c r="F14" s="18"/>
      <c r="G14" s="18"/>
      <c r="H14" s="18"/>
      <c r="I14" s="18"/>
      <c r="J14" s="18"/>
      <c r="L14" s="18"/>
      <c r="M14" s="18"/>
      <c r="N14" s="18"/>
      <c r="O14" s="18"/>
      <c r="P14" s="18"/>
      <c r="Q14" s="18"/>
      <c r="R14" s="18"/>
      <c r="S14" s="18"/>
      <c r="T14" s="23" t="s">
        <v>97</v>
      </c>
      <c r="U14" s="18"/>
      <c r="V14" s="23" t="s">
        <v>97</v>
      </c>
      <c r="W14" s="18"/>
      <c r="X14" s="18"/>
      <c r="Y14" s="1"/>
      <c r="Z14" s="1"/>
      <c r="AA14" s="1"/>
      <c r="AB14" s="1"/>
      <c r="AC14" s="22" t="s">
        <v>97</v>
      </c>
      <c r="AD14" s="22" t="s">
        <v>97</v>
      </c>
      <c r="AE14" s="22" t="s">
        <v>97</v>
      </c>
      <c r="AF14" s="22" t="s">
        <v>97</v>
      </c>
      <c r="AG14" s="22" t="s">
        <v>97</v>
      </c>
      <c r="AH14" s="22" t="s">
        <v>97</v>
      </c>
      <c r="AI14" s="22" t="s">
        <v>97</v>
      </c>
      <c r="AJ14" s="22" t="s">
        <v>97</v>
      </c>
      <c r="AK14" s="22" t="s">
        <v>97</v>
      </c>
      <c r="AL14" s="22" t="s">
        <v>97</v>
      </c>
      <c r="AM14" s="22" t="s">
        <v>97</v>
      </c>
      <c r="AN14" s="22" t="s">
        <v>97</v>
      </c>
      <c r="AO14" s="22" t="s">
        <v>97</v>
      </c>
      <c r="AP14" s="22" t="s">
        <v>97</v>
      </c>
      <c r="AQ14" s="22" t="s">
        <v>97</v>
      </c>
      <c r="AR14" s="22" t="s">
        <v>97</v>
      </c>
      <c r="AS14" s="19" t="s">
        <v>49</v>
      </c>
      <c r="AT14" s="1"/>
      <c r="AU14" s="1"/>
      <c r="AV14" s="1"/>
      <c r="AW14" s="1"/>
      <c r="AX14" s="1"/>
    </row>
    <row r="15" spans="1:50" outlineLevel="1">
      <c r="A15" s="10" t="s">
        <v>105</v>
      </c>
      <c r="B15" s="12" t="s">
        <v>40</v>
      </c>
      <c r="C15" s="10" t="s">
        <v>90</v>
      </c>
      <c r="D15" s="10" t="s">
        <v>88</v>
      </c>
      <c r="E15" s="18"/>
      <c r="F15" s="18"/>
      <c r="G15" s="18"/>
      <c r="H15" s="18"/>
      <c r="I15" s="18"/>
      <c r="J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"/>
      <c r="Z15" s="1"/>
      <c r="AA15" s="1"/>
      <c r="AB15" s="1"/>
      <c r="AC15" s="22" t="s">
        <v>119</v>
      </c>
      <c r="AD15" s="22" t="s">
        <v>97</v>
      </c>
      <c r="AE15" s="22" t="s">
        <v>97</v>
      </c>
      <c r="AF15" s="22" t="s">
        <v>97</v>
      </c>
      <c r="AG15" s="22" t="s">
        <v>97</v>
      </c>
      <c r="AH15" s="22" t="s">
        <v>117</v>
      </c>
      <c r="AI15" s="22" t="s">
        <v>97</v>
      </c>
      <c r="AJ15" s="22" t="s">
        <v>97</v>
      </c>
      <c r="AK15" s="22" t="s">
        <v>97</v>
      </c>
      <c r="AL15" s="22" t="s">
        <v>97</v>
      </c>
      <c r="AM15" s="22" t="s">
        <v>97</v>
      </c>
      <c r="AN15" s="22" t="s">
        <v>97</v>
      </c>
      <c r="AO15" s="22" t="s">
        <v>97</v>
      </c>
      <c r="AP15" s="22" t="s">
        <v>97</v>
      </c>
      <c r="AQ15" s="22" t="s">
        <v>97</v>
      </c>
      <c r="AR15" s="22" t="s">
        <v>122</v>
      </c>
      <c r="AS15" s="19" t="s">
        <v>49</v>
      </c>
      <c r="AT15" s="1"/>
      <c r="AU15" s="1"/>
      <c r="AV15" s="1"/>
      <c r="AW15" s="1"/>
      <c r="AX15" s="1"/>
    </row>
    <row r="16" spans="1:50" outlineLevel="1">
      <c r="A16" s="10" t="s">
        <v>105</v>
      </c>
      <c r="B16" s="12" t="s">
        <v>40</v>
      </c>
      <c r="C16" s="10" t="s">
        <v>91</v>
      </c>
      <c r="D16" s="10" t="s">
        <v>89</v>
      </c>
      <c r="E16" s="18"/>
      <c r="F16" s="18"/>
      <c r="G16" s="18"/>
      <c r="H16" s="18"/>
      <c r="I16" s="18"/>
      <c r="J16" s="18"/>
      <c r="L16" s="18"/>
      <c r="M16" s="18"/>
      <c r="N16" s="18"/>
      <c r="O16" s="18"/>
      <c r="P16" s="18"/>
      <c r="Q16" s="18"/>
      <c r="R16" s="18"/>
      <c r="S16" s="18"/>
      <c r="T16" s="23" t="s">
        <v>97</v>
      </c>
      <c r="U16" s="18"/>
      <c r="V16" s="23" t="s">
        <v>97</v>
      </c>
      <c r="W16" s="18"/>
      <c r="X16" s="18"/>
      <c r="Y16" s="1"/>
      <c r="Z16" s="1"/>
      <c r="AA16" s="1"/>
      <c r="AB16" s="1"/>
      <c r="AC16" s="22" t="s">
        <v>97</v>
      </c>
      <c r="AD16" s="22" t="s">
        <v>97</v>
      </c>
      <c r="AE16" s="22" t="s">
        <v>97</v>
      </c>
      <c r="AF16" s="22" t="s">
        <v>97</v>
      </c>
      <c r="AG16" s="22" t="s">
        <v>97</v>
      </c>
      <c r="AH16" s="22" t="s">
        <v>97</v>
      </c>
      <c r="AI16" s="22" t="s">
        <v>97</v>
      </c>
      <c r="AJ16" s="22" t="s">
        <v>97</v>
      </c>
      <c r="AK16" s="22" t="s">
        <v>97</v>
      </c>
      <c r="AL16" s="22" t="s">
        <v>97</v>
      </c>
      <c r="AM16" s="22" t="s">
        <v>97</v>
      </c>
      <c r="AN16" s="22" t="s">
        <v>97</v>
      </c>
      <c r="AO16" s="22" t="s">
        <v>97</v>
      </c>
      <c r="AP16" s="22" t="s">
        <v>97</v>
      </c>
      <c r="AQ16" s="22" t="s">
        <v>97</v>
      </c>
      <c r="AR16" s="22" t="s">
        <v>97</v>
      </c>
      <c r="AS16" s="19" t="s">
        <v>49</v>
      </c>
      <c r="AT16" s="1"/>
      <c r="AU16" s="1"/>
      <c r="AV16" s="1"/>
      <c r="AW16" s="1"/>
      <c r="AX16" s="1"/>
    </row>
    <row r="17" spans="1:50" outlineLevel="1">
      <c r="A17" s="10" t="s">
        <v>105</v>
      </c>
      <c r="B17" s="12" t="s">
        <v>40</v>
      </c>
      <c r="C17" s="10" t="s">
        <v>95</v>
      </c>
      <c r="D17" s="10" t="s">
        <v>96</v>
      </c>
      <c r="E17" s="18"/>
      <c r="F17" s="18"/>
      <c r="G17" s="18"/>
      <c r="H17" s="18"/>
      <c r="I17" s="18"/>
      <c r="J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"/>
      <c r="Z17" s="1"/>
      <c r="AA17" s="1"/>
      <c r="AB17" s="1"/>
      <c r="AC17" s="22" t="s">
        <v>123</v>
      </c>
      <c r="AD17" s="22" t="s">
        <v>124</v>
      </c>
      <c r="AE17" s="22" t="s">
        <v>97</v>
      </c>
      <c r="AF17" s="22" t="s">
        <v>97</v>
      </c>
      <c r="AG17" s="22" t="s">
        <v>120</v>
      </c>
      <c r="AH17" s="22" t="s">
        <v>120</v>
      </c>
      <c r="AI17" s="22" t="s">
        <v>120</v>
      </c>
      <c r="AJ17" s="22" t="s">
        <v>120</v>
      </c>
      <c r="AK17" s="22" t="s">
        <v>125</v>
      </c>
      <c r="AL17" s="22" t="s">
        <v>120</v>
      </c>
      <c r="AM17" s="22" t="s">
        <v>97</v>
      </c>
      <c r="AN17" s="22" t="s">
        <v>97</v>
      </c>
      <c r="AO17" s="22" t="s">
        <v>97</v>
      </c>
      <c r="AP17" s="22" t="s">
        <v>97</v>
      </c>
      <c r="AQ17" s="22" t="s">
        <v>120</v>
      </c>
      <c r="AR17" s="22" t="s">
        <v>120</v>
      </c>
      <c r="AS17" s="19" t="s">
        <v>49</v>
      </c>
      <c r="AT17" s="1"/>
      <c r="AU17" s="1"/>
      <c r="AV17" s="1"/>
      <c r="AW17" s="1"/>
      <c r="AX17" s="1"/>
    </row>
    <row r="18" spans="1:50" outlineLevel="1">
      <c r="A18" s="10" t="s">
        <v>105</v>
      </c>
      <c r="B18" s="12" t="s">
        <v>40</v>
      </c>
      <c r="C18" s="10" t="s">
        <v>126</v>
      </c>
      <c r="D18" s="10" t="s">
        <v>134</v>
      </c>
      <c r="E18" s="18"/>
      <c r="F18" s="18"/>
      <c r="G18" s="18"/>
      <c r="H18" s="18"/>
      <c r="I18" s="18"/>
      <c r="J18" s="18"/>
      <c r="L18" s="18"/>
      <c r="M18" s="18"/>
      <c r="N18" s="18"/>
      <c r="O18" s="18"/>
      <c r="P18" s="18"/>
      <c r="Q18" s="18"/>
      <c r="R18" s="18"/>
      <c r="S18" s="18"/>
      <c r="T18" s="23" t="s">
        <v>97</v>
      </c>
      <c r="U18" s="18"/>
      <c r="V18" s="23" t="s">
        <v>97</v>
      </c>
      <c r="W18" s="18"/>
      <c r="X18" s="18"/>
      <c r="Y18" s="1"/>
      <c r="Z18" s="1"/>
      <c r="AA18" s="1"/>
      <c r="AB18" s="1"/>
      <c r="AC18" s="22" t="s">
        <v>123</v>
      </c>
      <c r="AD18" s="22" t="s">
        <v>124</v>
      </c>
      <c r="AE18" s="22" t="s">
        <v>97</v>
      </c>
      <c r="AF18" s="22" t="s">
        <v>97</v>
      </c>
      <c r="AG18" s="22" t="s">
        <v>120</v>
      </c>
      <c r="AH18" s="22" t="s">
        <v>120</v>
      </c>
      <c r="AI18" s="22" t="s">
        <v>120</v>
      </c>
      <c r="AJ18" s="22" t="s">
        <v>120</v>
      </c>
      <c r="AK18" s="22" t="s">
        <v>125</v>
      </c>
      <c r="AL18" s="22" t="s">
        <v>120</v>
      </c>
      <c r="AM18" s="22" t="s">
        <v>97</v>
      </c>
      <c r="AN18" s="22" t="s">
        <v>97</v>
      </c>
      <c r="AO18" s="22" t="s">
        <v>97</v>
      </c>
      <c r="AP18" s="22" t="s">
        <v>97</v>
      </c>
      <c r="AQ18" s="22" t="s">
        <v>120</v>
      </c>
      <c r="AR18" s="22" t="s">
        <v>120</v>
      </c>
      <c r="AS18" s="19" t="s">
        <v>48</v>
      </c>
      <c r="AT18" s="1"/>
      <c r="AU18" s="1"/>
      <c r="AV18" s="1"/>
      <c r="AW18" s="1"/>
      <c r="AX18" s="1"/>
    </row>
    <row r="19" spans="1:50" outlineLevel="1">
      <c r="A19" s="10" t="s">
        <v>105</v>
      </c>
      <c r="B19" s="12" t="s">
        <v>40</v>
      </c>
      <c r="C19" s="24" t="s">
        <v>135</v>
      </c>
      <c r="D19" s="10" t="s">
        <v>92</v>
      </c>
      <c r="E19" s="18"/>
      <c r="F19" s="18"/>
      <c r="G19" s="18"/>
      <c r="H19" s="18"/>
      <c r="I19" s="18"/>
      <c r="J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9" t="s">
        <v>49</v>
      </c>
      <c r="AT19" s="1"/>
      <c r="AU19" s="1"/>
      <c r="AV19" s="1"/>
      <c r="AW19" s="1"/>
      <c r="AX19" s="1"/>
    </row>
    <row r="20" spans="1:50" outlineLevel="1">
      <c r="A20" s="20" t="s">
        <v>247</v>
      </c>
      <c r="B20" s="20" t="s">
        <v>246</v>
      </c>
      <c r="C20" s="20" t="s">
        <v>247</v>
      </c>
      <c r="D20" s="20" t="s">
        <v>48</v>
      </c>
      <c r="E20" s="19" t="s">
        <v>48</v>
      </c>
      <c r="F20" s="19" t="s">
        <v>48</v>
      </c>
      <c r="G20" s="19" t="s">
        <v>48</v>
      </c>
      <c r="H20" s="19" t="s">
        <v>48</v>
      </c>
      <c r="I20" s="19" t="s">
        <v>48</v>
      </c>
      <c r="J20" s="19" t="s">
        <v>48</v>
      </c>
      <c r="K20" s="21" t="s">
        <v>48</v>
      </c>
      <c r="L20" s="19" t="s">
        <v>48</v>
      </c>
      <c r="M20" s="19" t="s">
        <v>48</v>
      </c>
      <c r="N20" s="19" t="s">
        <v>48</v>
      </c>
      <c r="O20" s="19" t="s">
        <v>48</v>
      </c>
      <c r="P20" s="19" t="s">
        <v>48</v>
      </c>
      <c r="Q20" s="19" t="s">
        <v>48</v>
      </c>
      <c r="R20" s="19" t="s">
        <v>48</v>
      </c>
      <c r="S20" s="19" t="s">
        <v>48</v>
      </c>
      <c r="T20" s="19" t="s">
        <v>48</v>
      </c>
      <c r="U20" s="19" t="s">
        <v>48</v>
      </c>
      <c r="V20" s="19"/>
      <c r="W20" s="19" t="s">
        <v>48</v>
      </c>
      <c r="X20" s="19" t="s">
        <v>48</v>
      </c>
      <c r="Y20" s="19" t="s">
        <v>48</v>
      </c>
      <c r="Z20" s="19" t="s">
        <v>48</v>
      </c>
      <c r="AA20" s="19" t="s">
        <v>48</v>
      </c>
      <c r="AB20" s="19" t="s">
        <v>48</v>
      </c>
      <c r="AC20" s="19" t="s">
        <v>48</v>
      </c>
      <c r="AD20" s="19" t="s">
        <v>48</v>
      </c>
      <c r="AE20" s="19" t="s">
        <v>48</v>
      </c>
      <c r="AF20" s="19" t="s">
        <v>48</v>
      </c>
      <c r="AG20" s="19" t="s">
        <v>48</v>
      </c>
      <c r="AH20" s="19" t="s">
        <v>48</v>
      </c>
      <c r="AI20" s="19" t="s">
        <v>48</v>
      </c>
      <c r="AJ20" s="19" t="s">
        <v>48</v>
      </c>
      <c r="AK20" s="19" t="s">
        <v>48</v>
      </c>
      <c r="AL20" s="19" t="s">
        <v>48</v>
      </c>
      <c r="AM20" s="19" t="s">
        <v>48</v>
      </c>
      <c r="AN20" s="19" t="s">
        <v>48</v>
      </c>
      <c r="AO20" s="19" t="s">
        <v>48</v>
      </c>
      <c r="AP20" s="19" t="s">
        <v>48</v>
      </c>
      <c r="AQ20" s="19" t="s">
        <v>48</v>
      </c>
      <c r="AR20" s="19" t="s">
        <v>48</v>
      </c>
      <c r="AS20" s="19" t="s">
        <v>49</v>
      </c>
      <c r="AT20" s="1"/>
      <c r="AU20" s="1"/>
      <c r="AV20" s="1"/>
      <c r="AW20" s="1"/>
      <c r="AX20" s="1"/>
    </row>
    <row r="21" spans="1:50" outlineLevel="1">
      <c r="A21" s="10" t="s">
        <v>109</v>
      </c>
      <c r="B21" s="10" t="s">
        <v>43</v>
      </c>
      <c r="C21" s="10" t="s">
        <v>1</v>
      </c>
      <c r="D21" s="10" t="s">
        <v>84</v>
      </c>
      <c r="E21" s="18"/>
      <c r="F21" s="18"/>
      <c r="G21" s="18"/>
      <c r="H21" s="18">
        <v>0.33</v>
      </c>
      <c r="I21" s="18">
        <v>0.35</v>
      </c>
      <c r="J21" s="18">
        <v>0.4</v>
      </c>
      <c r="L21" s="18">
        <v>0.44</v>
      </c>
      <c r="M21" s="18">
        <v>0.52200000000000002</v>
      </c>
      <c r="N21" s="18">
        <v>0.6</v>
      </c>
      <c r="O21" s="18">
        <v>0.67500000000000004</v>
      </c>
      <c r="P21" s="18"/>
      <c r="Q21" s="18">
        <v>0.77700000000000002</v>
      </c>
      <c r="R21" s="18">
        <v>0.91</v>
      </c>
      <c r="S21" s="18">
        <v>1.05</v>
      </c>
      <c r="T21" s="18"/>
      <c r="U21" s="18">
        <v>1.29</v>
      </c>
      <c r="V21" s="18"/>
      <c r="W21" s="18">
        <v>1.87</v>
      </c>
      <c r="X21" s="18">
        <v>2.64</v>
      </c>
      <c r="Y21" s="1"/>
      <c r="Z21" s="1"/>
      <c r="AA21" s="1"/>
      <c r="AB21" s="5"/>
      <c r="AC21" s="22" t="s">
        <v>97</v>
      </c>
      <c r="AD21" s="22" t="s">
        <v>97</v>
      </c>
      <c r="AE21" s="22" t="s">
        <v>97</v>
      </c>
      <c r="AF21" s="22" t="s">
        <v>97</v>
      </c>
      <c r="AG21" s="22" t="s">
        <v>97</v>
      </c>
      <c r="AH21" s="22" t="s">
        <v>97</v>
      </c>
      <c r="AI21" s="22" t="s">
        <v>97</v>
      </c>
      <c r="AJ21" s="22" t="s">
        <v>97</v>
      </c>
      <c r="AK21" s="22" t="s">
        <v>97</v>
      </c>
      <c r="AL21" s="22" t="s">
        <v>97</v>
      </c>
      <c r="AM21" s="22" t="s">
        <v>97</v>
      </c>
      <c r="AN21" s="22" t="s">
        <v>97</v>
      </c>
      <c r="AO21" s="22" t="s">
        <v>97</v>
      </c>
      <c r="AP21" s="22" t="s">
        <v>97</v>
      </c>
      <c r="AQ21" s="22" t="s">
        <v>97</v>
      </c>
      <c r="AR21" s="22" t="s">
        <v>97</v>
      </c>
      <c r="AS21" s="19" t="s">
        <v>49</v>
      </c>
      <c r="AT21" s="1"/>
      <c r="AU21" s="1"/>
      <c r="AV21" s="1"/>
      <c r="AW21" s="1"/>
      <c r="AX21" s="1"/>
    </row>
    <row r="22" spans="1:50" outlineLevel="1">
      <c r="A22" s="10" t="s">
        <v>109</v>
      </c>
      <c r="B22" s="10" t="s">
        <v>43</v>
      </c>
      <c r="C22" s="10" t="s">
        <v>50</v>
      </c>
      <c r="D22" s="10" t="s">
        <v>86</v>
      </c>
      <c r="E22" s="18"/>
      <c r="F22" s="18"/>
      <c r="G22" s="18"/>
      <c r="H22" s="18">
        <v>0.33</v>
      </c>
      <c r="I22" s="18">
        <v>0.35</v>
      </c>
      <c r="J22" s="18">
        <v>0.4</v>
      </c>
      <c r="L22" s="18">
        <v>0.44</v>
      </c>
      <c r="M22" s="18">
        <v>0.52200000000000002</v>
      </c>
      <c r="N22" s="18">
        <v>0.6</v>
      </c>
      <c r="O22" s="18">
        <v>0.67500000000000004</v>
      </c>
      <c r="P22" s="18"/>
      <c r="Q22" s="18">
        <v>0.77700000000000002</v>
      </c>
      <c r="R22" s="18">
        <v>0.91</v>
      </c>
      <c r="S22" s="18">
        <v>1.05</v>
      </c>
      <c r="T22" s="18"/>
      <c r="U22" s="18">
        <v>1.29</v>
      </c>
      <c r="V22" s="18"/>
      <c r="W22" s="18">
        <v>1.87</v>
      </c>
      <c r="X22" s="18">
        <v>2.64</v>
      </c>
      <c r="Y22" s="1"/>
      <c r="Z22" s="1"/>
      <c r="AA22" s="1"/>
      <c r="AB22" s="1"/>
      <c r="AC22" s="22" t="s">
        <v>97</v>
      </c>
      <c r="AD22" s="22" t="s">
        <v>97</v>
      </c>
      <c r="AE22" s="22" t="s">
        <v>97</v>
      </c>
      <c r="AF22" s="22" t="s">
        <v>97</v>
      </c>
      <c r="AG22" s="22" t="s">
        <v>97</v>
      </c>
      <c r="AH22" s="22" t="s">
        <v>97</v>
      </c>
      <c r="AI22" s="22" t="s">
        <v>97</v>
      </c>
      <c r="AJ22" s="22" t="s">
        <v>97</v>
      </c>
      <c r="AK22" s="22" t="s">
        <v>97</v>
      </c>
      <c r="AL22" s="22" t="s">
        <v>97</v>
      </c>
      <c r="AM22" s="22" t="s">
        <v>97</v>
      </c>
      <c r="AN22" s="22" t="s">
        <v>97</v>
      </c>
      <c r="AO22" s="22" t="s">
        <v>97</v>
      </c>
      <c r="AP22" s="22" t="s">
        <v>97</v>
      </c>
      <c r="AQ22" s="22" t="s">
        <v>97</v>
      </c>
      <c r="AR22" s="22" t="s">
        <v>97</v>
      </c>
      <c r="AS22" s="19" t="s">
        <v>49</v>
      </c>
      <c r="AT22" s="1"/>
      <c r="AU22" s="1"/>
      <c r="AV22" s="1"/>
      <c r="AW22" s="1"/>
      <c r="AX22" s="1"/>
    </row>
    <row r="23" spans="1:50" outlineLevel="1">
      <c r="A23" s="10" t="s">
        <v>109</v>
      </c>
      <c r="B23" s="10" t="s">
        <v>43</v>
      </c>
      <c r="C23" s="14" t="s">
        <v>14</v>
      </c>
      <c r="D23" s="10" t="s">
        <v>62</v>
      </c>
      <c r="E23" s="18"/>
      <c r="F23" s="18"/>
      <c r="G23" s="18"/>
      <c r="H23" s="18">
        <v>0.37</v>
      </c>
      <c r="I23" s="18">
        <v>0.43</v>
      </c>
      <c r="J23" s="18">
        <v>0.49</v>
      </c>
      <c r="L23" s="18">
        <v>0.53</v>
      </c>
      <c r="M23" s="18">
        <v>0.61099999999999999</v>
      </c>
      <c r="N23" s="18">
        <v>0.72</v>
      </c>
      <c r="O23" s="18">
        <v>0.82</v>
      </c>
      <c r="P23" s="18"/>
      <c r="Q23" s="18">
        <v>0.94899999999999995</v>
      </c>
      <c r="R23" s="18">
        <v>1.42</v>
      </c>
      <c r="S23" s="18">
        <v>1.89</v>
      </c>
      <c r="T23" s="23" t="s">
        <v>97</v>
      </c>
      <c r="U23" s="18">
        <v>3.43</v>
      </c>
      <c r="V23" s="23" t="s">
        <v>97</v>
      </c>
      <c r="W23" s="18">
        <v>4.79</v>
      </c>
      <c r="X23" s="18">
        <v>5.91</v>
      </c>
      <c r="Y23" s="1"/>
      <c r="Z23" s="1"/>
      <c r="AA23" s="1"/>
      <c r="AB23" s="1"/>
      <c r="AC23" s="22" t="s">
        <v>97</v>
      </c>
      <c r="AD23" s="22" t="s">
        <v>97</v>
      </c>
      <c r="AE23" s="22" t="s">
        <v>97</v>
      </c>
      <c r="AF23" s="22" t="s">
        <v>97</v>
      </c>
      <c r="AG23" s="22" t="s">
        <v>97</v>
      </c>
      <c r="AH23" s="22" t="s">
        <v>97</v>
      </c>
      <c r="AI23" s="22" t="s">
        <v>97</v>
      </c>
      <c r="AJ23" s="22" t="s">
        <v>97</v>
      </c>
      <c r="AK23" s="22" t="s">
        <v>97</v>
      </c>
      <c r="AL23" s="22" t="s">
        <v>97</v>
      </c>
      <c r="AM23" s="22" t="s">
        <v>97</v>
      </c>
      <c r="AN23" s="22" t="s">
        <v>97</v>
      </c>
      <c r="AO23" s="22" t="s">
        <v>97</v>
      </c>
      <c r="AP23" s="22" t="s">
        <v>97</v>
      </c>
      <c r="AQ23" s="22" t="s">
        <v>97</v>
      </c>
      <c r="AR23" s="22" t="s">
        <v>97</v>
      </c>
      <c r="AS23" s="19" t="s">
        <v>49</v>
      </c>
      <c r="AT23" s="1"/>
      <c r="AU23" s="1"/>
      <c r="AV23" s="1"/>
      <c r="AW23" s="1"/>
      <c r="AX23" s="1"/>
    </row>
    <row r="24" spans="1:50" outlineLevel="1">
      <c r="A24" s="10" t="s">
        <v>109</v>
      </c>
      <c r="B24" s="10" t="s">
        <v>43</v>
      </c>
      <c r="C24" s="14" t="s">
        <v>19</v>
      </c>
      <c r="D24" s="10" t="s">
        <v>66</v>
      </c>
      <c r="E24" s="18"/>
      <c r="F24" s="18"/>
      <c r="G24" s="18"/>
      <c r="H24" s="18">
        <v>0.3</v>
      </c>
      <c r="I24" s="18">
        <v>0.35</v>
      </c>
      <c r="J24" s="18">
        <v>0.41</v>
      </c>
      <c r="L24" s="18">
        <v>0.46</v>
      </c>
      <c r="M24" s="18">
        <v>0.52900000000000003</v>
      </c>
      <c r="N24" s="18">
        <v>0.63</v>
      </c>
      <c r="O24" s="18">
        <v>0.74</v>
      </c>
      <c r="P24" s="18"/>
      <c r="Q24" s="18">
        <v>0.85499999999999998</v>
      </c>
      <c r="R24" s="18">
        <v>1.03</v>
      </c>
      <c r="S24" s="18">
        <v>1.21</v>
      </c>
      <c r="T24" s="23" t="s">
        <v>97</v>
      </c>
      <c r="U24" s="18">
        <v>1.89</v>
      </c>
      <c r="V24" s="23" t="s">
        <v>97</v>
      </c>
      <c r="W24" s="18">
        <v>3.08</v>
      </c>
      <c r="X24" s="18">
        <v>4.0599999999999996</v>
      </c>
      <c r="Y24" s="1"/>
      <c r="Z24" s="1"/>
      <c r="AA24" s="1"/>
      <c r="AB24" s="1"/>
      <c r="AC24" s="22" t="s">
        <v>97</v>
      </c>
      <c r="AD24" s="22" t="s">
        <v>97</v>
      </c>
      <c r="AE24" s="22" t="s">
        <v>97</v>
      </c>
      <c r="AF24" s="22" t="s">
        <v>97</v>
      </c>
      <c r="AG24" s="22" t="s">
        <v>97</v>
      </c>
      <c r="AH24" s="22" t="s">
        <v>97</v>
      </c>
      <c r="AI24" s="22" t="s">
        <v>97</v>
      </c>
      <c r="AJ24" s="22" t="s">
        <v>97</v>
      </c>
      <c r="AK24" s="22" t="s">
        <v>97</v>
      </c>
      <c r="AL24" s="22" t="s">
        <v>97</v>
      </c>
      <c r="AM24" s="22" t="s">
        <v>97</v>
      </c>
      <c r="AN24" s="22" t="s">
        <v>97</v>
      </c>
      <c r="AO24" s="22" t="s">
        <v>97</v>
      </c>
      <c r="AP24" s="22" t="s">
        <v>97</v>
      </c>
      <c r="AQ24" s="22" t="s">
        <v>97</v>
      </c>
      <c r="AR24" s="22" t="s">
        <v>97</v>
      </c>
      <c r="AS24" s="19" t="s">
        <v>49</v>
      </c>
      <c r="AT24" s="1"/>
      <c r="AU24" s="1"/>
      <c r="AV24" s="1"/>
      <c r="AW24" s="1"/>
      <c r="AX24" s="1"/>
    </row>
    <row r="25" spans="1:50" outlineLevel="1">
      <c r="A25" s="10" t="s">
        <v>109</v>
      </c>
      <c r="B25" s="10" t="s">
        <v>43</v>
      </c>
      <c r="C25" s="14" t="s">
        <v>23</v>
      </c>
      <c r="D25" s="10" t="s">
        <v>70</v>
      </c>
      <c r="E25" s="18"/>
      <c r="F25" s="18"/>
      <c r="G25" s="18"/>
      <c r="H25" s="18">
        <v>0.39</v>
      </c>
      <c r="I25" s="18">
        <v>0.42</v>
      </c>
      <c r="J25" s="18">
        <v>0.49</v>
      </c>
      <c r="L25" s="18">
        <v>0.53</v>
      </c>
      <c r="M25" s="18">
        <v>0.53700000000000003</v>
      </c>
      <c r="N25" s="18">
        <v>0.65</v>
      </c>
      <c r="O25" s="18">
        <v>0.77</v>
      </c>
      <c r="P25" s="18"/>
      <c r="Q25" s="18">
        <v>0.871</v>
      </c>
      <c r="R25" s="18">
        <v>1.05</v>
      </c>
      <c r="S25" s="18">
        <v>1.22</v>
      </c>
      <c r="T25" s="18"/>
      <c r="U25" s="18">
        <v>1.51</v>
      </c>
      <c r="V25" s="18"/>
      <c r="W25" s="18">
        <v>1.6</v>
      </c>
      <c r="X25" s="18">
        <v>1.73</v>
      </c>
      <c r="Y25" s="22" t="s">
        <v>97</v>
      </c>
      <c r="Z25" s="22" t="s">
        <v>97</v>
      </c>
      <c r="AA25" s="22" t="s">
        <v>97</v>
      </c>
      <c r="AB25" s="22" t="s">
        <v>97</v>
      </c>
      <c r="AC25" s="22" t="s">
        <v>97</v>
      </c>
      <c r="AD25" s="22" t="s">
        <v>97</v>
      </c>
      <c r="AE25" s="22" t="s">
        <v>97</v>
      </c>
      <c r="AF25" s="22" t="s">
        <v>97</v>
      </c>
      <c r="AG25" s="22" t="s">
        <v>97</v>
      </c>
      <c r="AH25" s="22" t="s">
        <v>97</v>
      </c>
      <c r="AI25" s="22" t="s">
        <v>97</v>
      </c>
      <c r="AJ25" s="22" t="s">
        <v>97</v>
      </c>
      <c r="AK25" s="22" t="s">
        <v>97</v>
      </c>
      <c r="AL25" s="22" t="s">
        <v>97</v>
      </c>
      <c r="AM25" s="22" t="s">
        <v>97</v>
      </c>
      <c r="AN25" s="22" t="s">
        <v>97</v>
      </c>
      <c r="AO25" s="22" t="s">
        <v>97</v>
      </c>
      <c r="AP25" s="22" t="s">
        <v>97</v>
      </c>
      <c r="AQ25" s="22" t="s">
        <v>97</v>
      </c>
      <c r="AR25" s="22" t="s">
        <v>97</v>
      </c>
      <c r="AS25" s="19" t="s">
        <v>49</v>
      </c>
      <c r="AT25" s="1"/>
      <c r="AU25" s="1"/>
      <c r="AV25" s="1"/>
      <c r="AW25" s="1"/>
      <c r="AX25" s="1"/>
    </row>
    <row r="26" spans="1:50" outlineLevel="1">
      <c r="A26" s="10" t="s">
        <v>109</v>
      </c>
      <c r="B26" s="10" t="s">
        <v>43</v>
      </c>
      <c r="C26" s="14" t="s">
        <v>28</v>
      </c>
      <c r="D26" s="10" t="s">
        <v>72</v>
      </c>
      <c r="E26" s="18"/>
      <c r="F26" s="18"/>
      <c r="G26" s="18"/>
      <c r="H26" s="18">
        <v>0.39</v>
      </c>
      <c r="I26" s="18">
        <v>0.42</v>
      </c>
      <c r="J26" s="18">
        <v>0.49</v>
      </c>
      <c r="L26" s="18">
        <v>0.55000000000000004</v>
      </c>
      <c r="M26" s="18">
        <v>0.60199999999999998</v>
      </c>
      <c r="N26" s="18">
        <v>0.76</v>
      </c>
      <c r="O26" s="18">
        <v>0.92</v>
      </c>
      <c r="P26" s="18"/>
      <c r="Q26" s="18">
        <v>1.1100000000000001</v>
      </c>
      <c r="R26" s="18">
        <v>1.35</v>
      </c>
      <c r="S26" s="18">
        <v>1.58</v>
      </c>
      <c r="T26" s="18"/>
      <c r="U26" s="18">
        <v>2.4500000000000002</v>
      </c>
      <c r="V26" s="18"/>
      <c r="W26" s="18">
        <v>4</v>
      </c>
      <c r="X26" s="18">
        <v>5.28</v>
      </c>
      <c r="Y26" s="1"/>
      <c r="Z26" s="1"/>
      <c r="AA26" s="1"/>
      <c r="AB26" s="1"/>
      <c r="AC26" s="1"/>
      <c r="AD26" s="1"/>
      <c r="AE26" s="1"/>
      <c r="AF26" s="22" t="s">
        <v>97</v>
      </c>
      <c r="AG26" s="22" t="s">
        <v>97</v>
      </c>
      <c r="AH26" s="22" t="s">
        <v>97</v>
      </c>
      <c r="AI26" s="22" t="s">
        <v>97</v>
      </c>
      <c r="AJ26" s="22" t="s">
        <v>97</v>
      </c>
      <c r="AK26" s="22" t="s">
        <v>97</v>
      </c>
      <c r="AL26" s="22" t="s">
        <v>97</v>
      </c>
      <c r="AM26" s="22" t="s">
        <v>97</v>
      </c>
      <c r="AN26" s="22" t="s">
        <v>97</v>
      </c>
      <c r="AO26" s="22" t="s">
        <v>97</v>
      </c>
      <c r="AP26" s="22" t="s">
        <v>97</v>
      </c>
      <c r="AQ26" s="22" t="s">
        <v>97</v>
      </c>
      <c r="AR26" s="22" t="s">
        <v>97</v>
      </c>
      <c r="AS26" s="19" t="s">
        <v>49</v>
      </c>
      <c r="AT26" s="1"/>
      <c r="AU26" s="1"/>
      <c r="AV26" s="1"/>
      <c r="AW26" s="1"/>
      <c r="AX26" s="1"/>
    </row>
    <row r="27" spans="1:50" outlineLevel="1">
      <c r="A27" s="10" t="s">
        <v>109</v>
      </c>
      <c r="B27" s="10" t="s">
        <v>43</v>
      </c>
      <c r="C27" s="14" t="s">
        <v>30</v>
      </c>
      <c r="D27" s="10" t="s">
        <v>76</v>
      </c>
      <c r="E27" s="18"/>
      <c r="F27" s="18"/>
      <c r="G27" s="18"/>
      <c r="H27" s="18">
        <v>0.39</v>
      </c>
      <c r="I27" s="18">
        <v>0.42</v>
      </c>
      <c r="J27" s="18">
        <v>0.49</v>
      </c>
      <c r="L27" s="18">
        <v>0.53</v>
      </c>
      <c r="M27" s="18">
        <v>0.53700000000000003</v>
      </c>
      <c r="N27" s="18">
        <v>0.65</v>
      </c>
      <c r="O27" s="18">
        <v>0.77</v>
      </c>
      <c r="P27" s="18"/>
      <c r="Q27" s="18">
        <v>0.871</v>
      </c>
      <c r="R27" s="18">
        <v>1.05</v>
      </c>
      <c r="S27" s="18">
        <v>1.22</v>
      </c>
      <c r="T27" s="18"/>
      <c r="U27" s="18">
        <v>1.51</v>
      </c>
      <c r="V27" s="18"/>
      <c r="W27" s="18">
        <v>1.6</v>
      </c>
      <c r="X27" s="18">
        <v>1.73</v>
      </c>
      <c r="Y27" s="22" t="s">
        <v>97</v>
      </c>
      <c r="Z27" s="22" t="s">
        <v>97</v>
      </c>
      <c r="AA27" s="22" t="s">
        <v>97</v>
      </c>
      <c r="AB27" s="22" t="s">
        <v>97</v>
      </c>
      <c r="AC27" s="22" t="s">
        <v>97</v>
      </c>
      <c r="AD27" s="22" t="s">
        <v>97</v>
      </c>
      <c r="AE27" s="22" t="s">
        <v>97</v>
      </c>
      <c r="AF27" s="22" t="s">
        <v>97</v>
      </c>
      <c r="AG27" s="22" t="s">
        <v>97</v>
      </c>
      <c r="AH27" s="22" t="s">
        <v>97</v>
      </c>
      <c r="AI27" s="22" t="s">
        <v>97</v>
      </c>
      <c r="AJ27" s="22" t="s">
        <v>97</v>
      </c>
      <c r="AK27" s="22" t="s">
        <v>97</v>
      </c>
      <c r="AL27" s="22" t="s">
        <v>97</v>
      </c>
      <c r="AM27" s="22" t="s">
        <v>97</v>
      </c>
      <c r="AN27" s="22" t="s">
        <v>97</v>
      </c>
      <c r="AO27" s="22" t="s">
        <v>97</v>
      </c>
      <c r="AP27" s="22" t="s">
        <v>97</v>
      </c>
      <c r="AQ27" s="22" t="s">
        <v>97</v>
      </c>
      <c r="AR27" s="22" t="s">
        <v>97</v>
      </c>
      <c r="AS27" s="19" t="s">
        <v>49</v>
      </c>
      <c r="AT27" s="1"/>
      <c r="AU27" s="1"/>
      <c r="AV27" s="1"/>
      <c r="AW27" s="1"/>
      <c r="AX27" s="1"/>
    </row>
    <row r="28" spans="1:50" outlineLevel="1">
      <c r="A28" s="10" t="s">
        <v>109</v>
      </c>
      <c r="B28" s="10" t="s">
        <v>43</v>
      </c>
      <c r="C28" s="14" t="s">
        <v>33</v>
      </c>
      <c r="D28" s="10" t="s">
        <v>81</v>
      </c>
      <c r="E28" s="18"/>
      <c r="F28" s="18"/>
      <c r="G28" s="18"/>
      <c r="H28" s="18">
        <v>0.39</v>
      </c>
      <c r="I28" s="18">
        <v>0.42</v>
      </c>
      <c r="J28" s="18">
        <v>0.49</v>
      </c>
      <c r="L28" s="18">
        <v>0.55000000000000004</v>
      </c>
      <c r="M28" s="18">
        <v>0.60199999999999998</v>
      </c>
      <c r="N28" s="18">
        <v>0.76</v>
      </c>
      <c r="O28" s="18">
        <v>0.92600000000000005</v>
      </c>
      <c r="P28" s="18"/>
      <c r="Q28" s="18">
        <v>1.1100000000000001</v>
      </c>
      <c r="R28" s="18">
        <v>1.35</v>
      </c>
      <c r="S28" s="18">
        <v>1.58</v>
      </c>
      <c r="T28" s="18"/>
      <c r="U28" s="18">
        <v>2.4500000000000002</v>
      </c>
      <c r="V28" s="18"/>
      <c r="W28" s="18">
        <v>4</v>
      </c>
      <c r="X28" s="18">
        <v>5.28</v>
      </c>
      <c r="Y28" s="1"/>
      <c r="Z28" s="1"/>
      <c r="AA28" s="1"/>
      <c r="AB28" s="1"/>
      <c r="AC28" s="1"/>
      <c r="AD28" s="1"/>
      <c r="AE28" s="1"/>
      <c r="AF28" s="22" t="s">
        <v>97</v>
      </c>
      <c r="AG28" s="22" t="s">
        <v>97</v>
      </c>
      <c r="AH28" s="22" t="s">
        <v>97</v>
      </c>
      <c r="AI28" s="22" t="s">
        <v>97</v>
      </c>
      <c r="AJ28" s="22" t="s">
        <v>97</v>
      </c>
      <c r="AK28" s="22" t="s">
        <v>97</v>
      </c>
      <c r="AL28" s="22" t="s">
        <v>97</v>
      </c>
      <c r="AM28" s="22" t="s">
        <v>97</v>
      </c>
      <c r="AN28" s="22" t="s">
        <v>97</v>
      </c>
      <c r="AO28" s="22" t="s">
        <v>97</v>
      </c>
      <c r="AP28" s="22" t="s">
        <v>97</v>
      </c>
      <c r="AQ28" s="22" t="s">
        <v>97</v>
      </c>
      <c r="AR28" s="22" t="s">
        <v>97</v>
      </c>
      <c r="AS28" s="19" t="s">
        <v>49</v>
      </c>
      <c r="AT28" s="1"/>
      <c r="AU28" s="1"/>
      <c r="AV28" s="1"/>
      <c r="AW28" s="1"/>
      <c r="AX28" s="1"/>
    </row>
    <row r="29" spans="1:50" outlineLevel="1">
      <c r="A29" s="10" t="s">
        <v>109</v>
      </c>
      <c r="B29" s="10" t="s">
        <v>43</v>
      </c>
      <c r="C29" s="24" t="s">
        <v>135</v>
      </c>
      <c r="D29" s="10" t="s">
        <v>98</v>
      </c>
      <c r="E29" s="18"/>
      <c r="F29" s="18"/>
      <c r="G29" s="18"/>
      <c r="H29" s="18"/>
      <c r="I29" s="18"/>
      <c r="J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9" t="s">
        <v>48</v>
      </c>
      <c r="AT29" s="1"/>
      <c r="AU29" s="1"/>
      <c r="AV29" s="1"/>
      <c r="AW29" s="1"/>
      <c r="AX29" s="1"/>
    </row>
    <row r="30" spans="1:50" outlineLevel="1">
      <c r="A30" s="20" t="s">
        <v>247</v>
      </c>
      <c r="B30" s="20" t="s">
        <v>246</v>
      </c>
      <c r="C30" s="20" t="s">
        <v>247</v>
      </c>
      <c r="D30" s="20" t="s">
        <v>48</v>
      </c>
      <c r="E30" s="19" t="s">
        <v>48</v>
      </c>
      <c r="F30" s="19" t="s">
        <v>48</v>
      </c>
      <c r="G30" s="19" t="s">
        <v>48</v>
      </c>
      <c r="H30" s="19" t="s">
        <v>48</v>
      </c>
      <c r="I30" s="19" t="s">
        <v>48</v>
      </c>
      <c r="J30" s="19" t="s">
        <v>48</v>
      </c>
      <c r="K30" s="21" t="s">
        <v>48</v>
      </c>
      <c r="L30" s="19" t="s">
        <v>48</v>
      </c>
      <c r="M30" s="19" t="s">
        <v>48</v>
      </c>
      <c r="N30" s="19" t="s">
        <v>48</v>
      </c>
      <c r="O30" s="19" t="s">
        <v>48</v>
      </c>
      <c r="P30" s="19" t="s">
        <v>48</v>
      </c>
      <c r="Q30" s="19" t="s">
        <v>48</v>
      </c>
      <c r="R30" s="19" t="s">
        <v>48</v>
      </c>
      <c r="S30" s="19" t="s">
        <v>48</v>
      </c>
      <c r="T30" s="19" t="s">
        <v>48</v>
      </c>
      <c r="U30" s="19" t="s">
        <v>48</v>
      </c>
      <c r="V30" s="19"/>
      <c r="W30" s="19" t="s">
        <v>48</v>
      </c>
      <c r="X30" s="19" t="s">
        <v>48</v>
      </c>
      <c r="Y30" s="19" t="s">
        <v>48</v>
      </c>
      <c r="Z30" s="19" t="s">
        <v>48</v>
      </c>
      <c r="AA30" s="19" t="s">
        <v>48</v>
      </c>
      <c r="AB30" s="19" t="s">
        <v>48</v>
      </c>
      <c r="AC30" s="19" t="s">
        <v>48</v>
      </c>
      <c r="AD30" s="19" t="s">
        <v>48</v>
      </c>
      <c r="AE30" s="19" t="s">
        <v>48</v>
      </c>
      <c r="AF30" s="19" t="s">
        <v>48</v>
      </c>
      <c r="AG30" s="19" t="s">
        <v>48</v>
      </c>
      <c r="AH30" s="19" t="s">
        <v>48</v>
      </c>
      <c r="AI30" s="19" t="s">
        <v>48</v>
      </c>
      <c r="AJ30" s="19" t="s">
        <v>48</v>
      </c>
      <c r="AK30" s="19" t="s">
        <v>48</v>
      </c>
      <c r="AL30" s="19" t="s">
        <v>48</v>
      </c>
      <c r="AM30" s="19" t="s">
        <v>48</v>
      </c>
      <c r="AN30" s="19" t="s">
        <v>48</v>
      </c>
      <c r="AO30" s="19" t="s">
        <v>48</v>
      </c>
      <c r="AP30" s="19" t="s">
        <v>48</v>
      </c>
      <c r="AQ30" s="19" t="s">
        <v>48</v>
      </c>
      <c r="AR30" s="19" t="s">
        <v>48</v>
      </c>
      <c r="AS30" s="19" t="s">
        <v>49</v>
      </c>
      <c r="AT30" s="1"/>
      <c r="AU30" s="1"/>
      <c r="AV30" s="1"/>
      <c r="AW30" s="1"/>
      <c r="AX30" s="1"/>
    </row>
    <row r="31" spans="1:50" outlineLevel="1">
      <c r="A31" s="10" t="s">
        <v>110</v>
      </c>
      <c r="B31" s="10" t="s">
        <v>44</v>
      </c>
      <c r="C31" s="10" t="s">
        <v>2</v>
      </c>
      <c r="D31" s="10" t="s">
        <v>204</v>
      </c>
      <c r="E31" s="18"/>
      <c r="F31" s="18"/>
      <c r="G31" s="18"/>
      <c r="H31" s="18">
        <v>0.34</v>
      </c>
      <c r="I31" s="18">
        <v>0.4</v>
      </c>
      <c r="J31" s="18">
        <v>0.42</v>
      </c>
      <c r="L31" s="18">
        <v>0.5</v>
      </c>
      <c r="M31" s="18">
        <v>0.57399999999999995</v>
      </c>
      <c r="N31" s="18">
        <v>0.7</v>
      </c>
      <c r="O31" s="18">
        <v>0.83</v>
      </c>
      <c r="P31" s="18"/>
      <c r="Q31" s="18">
        <v>1.0900000000000001</v>
      </c>
      <c r="R31" s="18">
        <v>1.41</v>
      </c>
      <c r="S31" s="18">
        <v>1.72</v>
      </c>
      <c r="T31" s="18"/>
      <c r="U31" s="18">
        <v>2.2400000000000002</v>
      </c>
      <c r="V31" s="18"/>
      <c r="W31" s="18">
        <v>3.08</v>
      </c>
      <c r="X31" s="18">
        <v>4.24</v>
      </c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9" t="s">
        <v>49</v>
      </c>
      <c r="AT31" s="1"/>
      <c r="AU31" s="1"/>
      <c r="AV31" s="1"/>
      <c r="AW31" s="1"/>
      <c r="AX31" s="1"/>
    </row>
    <row r="32" spans="1:50" outlineLevel="1">
      <c r="A32" s="10" t="s">
        <v>110</v>
      </c>
      <c r="B32" s="10" t="s">
        <v>44</v>
      </c>
      <c r="C32" s="10" t="s">
        <v>106</v>
      </c>
      <c r="D32" s="10" t="s">
        <v>205</v>
      </c>
      <c r="E32" s="18"/>
      <c r="F32" s="18"/>
      <c r="G32" s="18"/>
      <c r="H32" s="18">
        <v>0.34</v>
      </c>
      <c r="I32" s="18">
        <v>0.4</v>
      </c>
      <c r="J32" s="18">
        <v>0.42</v>
      </c>
      <c r="L32" s="18">
        <v>0.5</v>
      </c>
      <c r="M32" s="18">
        <v>0.57399999999999995</v>
      </c>
      <c r="N32" s="18">
        <v>0.7</v>
      </c>
      <c r="O32" s="18">
        <v>0.83099999999999996</v>
      </c>
      <c r="P32" s="18"/>
      <c r="Q32" s="18">
        <v>1.0900000000000001</v>
      </c>
      <c r="R32" s="18">
        <v>1.41</v>
      </c>
      <c r="S32" s="18">
        <v>1.72</v>
      </c>
      <c r="T32" s="18"/>
      <c r="U32" s="18">
        <v>2.2400000000000002</v>
      </c>
      <c r="V32" s="18"/>
      <c r="W32" s="18">
        <v>3.08</v>
      </c>
      <c r="X32" s="18">
        <v>4.24</v>
      </c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9" t="s">
        <v>49</v>
      </c>
      <c r="AT32" s="1"/>
      <c r="AU32" s="1"/>
      <c r="AV32" s="1"/>
      <c r="AW32" s="1"/>
      <c r="AX32" s="1"/>
    </row>
    <row r="33" spans="1:50" outlineLevel="1">
      <c r="A33" s="10" t="s">
        <v>110</v>
      </c>
      <c r="B33" s="10" t="s">
        <v>44</v>
      </c>
      <c r="C33" s="10" t="s">
        <v>230</v>
      </c>
      <c r="D33" s="10" t="s">
        <v>206</v>
      </c>
      <c r="E33" s="18"/>
      <c r="F33" s="18"/>
      <c r="G33" s="18"/>
      <c r="H33" s="18">
        <v>0.34</v>
      </c>
      <c r="I33" s="18">
        <v>0.4</v>
      </c>
      <c r="J33" s="18">
        <v>0.43</v>
      </c>
      <c r="L33" s="18">
        <v>0.51</v>
      </c>
      <c r="M33" s="18">
        <v>0.58399999999999996</v>
      </c>
      <c r="N33" s="18">
        <v>0.75</v>
      </c>
      <c r="O33" s="18">
        <v>0.92</v>
      </c>
      <c r="P33" s="18"/>
      <c r="Q33" s="18">
        <v>1.1299999999999999</v>
      </c>
      <c r="R33" s="18">
        <v>1.43</v>
      </c>
      <c r="S33" s="18">
        <v>1.73</v>
      </c>
      <c r="T33" s="18"/>
      <c r="U33" s="18">
        <v>3.13</v>
      </c>
      <c r="V33" s="18"/>
      <c r="W33" s="18">
        <v>4.84</v>
      </c>
      <c r="X33" s="18">
        <v>6.21</v>
      </c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9" t="s">
        <v>49</v>
      </c>
      <c r="AT33" s="1"/>
      <c r="AU33" s="1"/>
      <c r="AV33" s="1"/>
      <c r="AW33" s="1"/>
      <c r="AX33" s="1"/>
    </row>
    <row r="34" spans="1:50" outlineLevel="1">
      <c r="A34" s="10" t="s">
        <v>110</v>
      </c>
      <c r="B34" s="10" t="s">
        <v>44</v>
      </c>
      <c r="C34" s="10" t="s">
        <v>233</v>
      </c>
      <c r="D34" s="10" t="s">
        <v>207</v>
      </c>
      <c r="E34" s="18"/>
      <c r="F34" s="18"/>
      <c r="G34" s="18"/>
      <c r="H34" s="18">
        <v>0.44</v>
      </c>
      <c r="I34" s="18">
        <v>0.48</v>
      </c>
      <c r="J34" s="18">
        <v>0.52</v>
      </c>
      <c r="L34" s="18">
        <v>0.6</v>
      </c>
      <c r="M34" s="18">
        <v>0.65</v>
      </c>
      <c r="N34" s="18">
        <v>0.8</v>
      </c>
      <c r="O34" s="18">
        <v>0.94</v>
      </c>
      <c r="P34" s="18"/>
      <c r="Q34" s="18">
        <v>1.22</v>
      </c>
      <c r="R34" s="18">
        <v>1.6</v>
      </c>
      <c r="S34" s="18">
        <v>1.98</v>
      </c>
      <c r="T34" s="18"/>
      <c r="U34" s="18">
        <v>2.5</v>
      </c>
      <c r="V34" s="18"/>
      <c r="W34" s="18">
        <v>2.7</v>
      </c>
      <c r="X34" s="18">
        <v>3.2</v>
      </c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9" t="s">
        <v>49</v>
      </c>
      <c r="AT34" s="1"/>
      <c r="AU34" s="1"/>
      <c r="AV34" s="1"/>
      <c r="AW34" s="1"/>
      <c r="AX34" s="1"/>
    </row>
    <row r="35" spans="1:50" outlineLevel="1">
      <c r="A35" s="10" t="s">
        <v>110</v>
      </c>
      <c r="B35" s="10" t="s">
        <v>44</v>
      </c>
      <c r="C35" s="10" t="s">
        <v>229</v>
      </c>
      <c r="D35" s="10" t="s">
        <v>208</v>
      </c>
      <c r="E35" s="18"/>
      <c r="F35" s="18"/>
      <c r="G35" s="18"/>
      <c r="H35" s="18">
        <v>0.44</v>
      </c>
      <c r="I35" s="18">
        <v>0.5</v>
      </c>
      <c r="J35" s="18">
        <v>0.55000000000000004</v>
      </c>
      <c r="L35" s="18">
        <v>0.64</v>
      </c>
      <c r="M35" s="18">
        <v>0.66400000000000003</v>
      </c>
      <c r="N35" s="18">
        <v>0.94</v>
      </c>
      <c r="O35" s="18">
        <v>1.21</v>
      </c>
      <c r="P35" s="18"/>
      <c r="Q35" s="18">
        <v>1.6</v>
      </c>
      <c r="R35" s="18">
        <v>2.0499999999999998</v>
      </c>
      <c r="S35" s="18">
        <v>2.5</v>
      </c>
      <c r="T35" s="18"/>
      <c r="U35" s="18">
        <v>4.0599999999999996</v>
      </c>
      <c r="V35" s="18"/>
      <c r="W35" s="18">
        <v>6.29</v>
      </c>
      <c r="X35" s="18">
        <v>8.07</v>
      </c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9" t="s">
        <v>49</v>
      </c>
      <c r="AT35" s="1"/>
      <c r="AU35" s="1"/>
      <c r="AV35" s="1"/>
      <c r="AW35" s="1"/>
      <c r="AX35" s="1"/>
    </row>
    <row r="36" spans="1:50" outlineLevel="1">
      <c r="A36" s="10" t="s">
        <v>110</v>
      </c>
      <c r="B36" s="10" t="s">
        <v>44</v>
      </c>
      <c r="C36" s="10" t="s">
        <v>234</v>
      </c>
      <c r="D36" s="10" t="s">
        <v>209</v>
      </c>
      <c r="E36" s="18"/>
      <c r="F36" s="18"/>
      <c r="G36" s="18"/>
      <c r="H36" s="18">
        <v>0.44</v>
      </c>
      <c r="I36" s="18">
        <v>0.48</v>
      </c>
      <c r="J36" s="18">
        <v>0.52</v>
      </c>
      <c r="L36" s="18">
        <v>0.6</v>
      </c>
      <c r="M36" s="18">
        <v>0.65</v>
      </c>
      <c r="N36" s="18">
        <v>0.8</v>
      </c>
      <c r="O36" s="18">
        <v>0.94799999999999995</v>
      </c>
      <c r="P36" s="18"/>
      <c r="Q36" s="18">
        <v>1.22</v>
      </c>
      <c r="R36" s="18">
        <v>1.6</v>
      </c>
      <c r="S36" s="18">
        <v>1.98</v>
      </c>
      <c r="T36" s="18"/>
      <c r="U36" s="18">
        <v>2.5</v>
      </c>
      <c r="V36" s="18"/>
      <c r="W36" s="18">
        <v>2.7</v>
      </c>
      <c r="X36" s="18">
        <v>3.2</v>
      </c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9" t="s">
        <v>49</v>
      </c>
      <c r="AT36" s="1"/>
      <c r="AU36" s="1"/>
      <c r="AV36" s="1"/>
      <c r="AW36" s="1"/>
      <c r="AX36" s="1"/>
    </row>
    <row r="37" spans="1:50" outlineLevel="1">
      <c r="A37" s="10" t="s">
        <v>110</v>
      </c>
      <c r="B37" s="10" t="s">
        <v>44</v>
      </c>
      <c r="C37" s="10" t="s">
        <v>228</v>
      </c>
      <c r="D37" s="10" t="s">
        <v>210</v>
      </c>
      <c r="E37" s="18"/>
      <c r="F37" s="18"/>
      <c r="G37" s="18"/>
      <c r="H37" s="18">
        <v>0.44</v>
      </c>
      <c r="I37" s="18">
        <v>0.5</v>
      </c>
      <c r="J37" s="18">
        <v>0.55000000000000004</v>
      </c>
      <c r="L37" s="18">
        <v>0.64</v>
      </c>
      <c r="M37" s="18">
        <v>0.66400000000000003</v>
      </c>
      <c r="N37" s="18">
        <v>0.94</v>
      </c>
      <c r="O37" s="18">
        <v>1.21</v>
      </c>
      <c r="P37" s="18"/>
      <c r="Q37" s="18">
        <v>1.6</v>
      </c>
      <c r="R37" s="18">
        <v>2.0499999999999998</v>
      </c>
      <c r="S37" s="18">
        <v>2.5</v>
      </c>
      <c r="T37" s="18"/>
      <c r="U37" s="18">
        <v>4.0599999999999996</v>
      </c>
      <c r="V37" s="18"/>
      <c r="W37" s="18">
        <v>6.29</v>
      </c>
      <c r="X37" s="18">
        <v>8.07</v>
      </c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9" t="s">
        <v>49</v>
      </c>
      <c r="AT37" s="1"/>
      <c r="AU37" s="1"/>
      <c r="AV37" s="1"/>
      <c r="AW37" s="1"/>
      <c r="AX37" s="1"/>
    </row>
    <row r="38" spans="1:50" outlineLevel="1">
      <c r="A38" s="10" t="s">
        <v>110</v>
      </c>
      <c r="B38" s="10" t="s">
        <v>44</v>
      </c>
      <c r="C38" s="24" t="s">
        <v>135</v>
      </c>
      <c r="D38" s="10" t="s">
        <v>99</v>
      </c>
      <c r="E38" s="18"/>
      <c r="F38" s="18"/>
      <c r="G38" s="18"/>
      <c r="H38" s="18"/>
      <c r="I38" s="18"/>
      <c r="J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9" t="s">
        <v>49</v>
      </c>
      <c r="AT38" s="1"/>
      <c r="AU38" s="1"/>
      <c r="AV38" s="1"/>
      <c r="AW38" s="1"/>
      <c r="AX38" s="1"/>
    </row>
    <row r="39" spans="1:50" outlineLevel="1">
      <c r="A39" s="20" t="s">
        <v>248</v>
      </c>
      <c r="B39" s="20" t="s">
        <v>247</v>
      </c>
      <c r="C39" s="20" t="s">
        <v>249</v>
      </c>
      <c r="D39" s="20" t="s">
        <v>48</v>
      </c>
      <c r="E39" s="19" t="s">
        <v>48</v>
      </c>
      <c r="F39" s="19" t="s">
        <v>48</v>
      </c>
      <c r="G39" s="19" t="s">
        <v>48</v>
      </c>
      <c r="H39" s="19" t="s">
        <v>48</v>
      </c>
      <c r="I39" s="19" t="s">
        <v>48</v>
      </c>
      <c r="J39" s="19" t="s">
        <v>48</v>
      </c>
      <c r="K39" s="21" t="s">
        <v>48</v>
      </c>
      <c r="L39" s="19" t="s">
        <v>48</v>
      </c>
      <c r="M39" s="19" t="s">
        <v>48</v>
      </c>
      <c r="N39" s="19" t="s">
        <v>48</v>
      </c>
      <c r="O39" s="19" t="s">
        <v>48</v>
      </c>
      <c r="P39" s="19" t="s">
        <v>48</v>
      </c>
      <c r="Q39" s="19" t="s">
        <v>48</v>
      </c>
      <c r="R39" s="19" t="s">
        <v>48</v>
      </c>
      <c r="S39" s="19" t="s">
        <v>48</v>
      </c>
      <c r="T39" s="19" t="s">
        <v>48</v>
      </c>
      <c r="U39" s="19" t="s">
        <v>48</v>
      </c>
      <c r="V39" s="19"/>
      <c r="W39" s="19" t="s">
        <v>48</v>
      </c>
      <c r="X39" s="19" t="s">
        <v>48</v>
      </c>
      <c r="Y39" s="19" t="s">
        <v>48</v>
      </c>
      <c r="Z39" s="19" t="s">
        <v>48</v>
      </c>
      <c r="AA39" s="19" t="s">
        <v>48</v>
      </c>
      <c r="AB39" s="19" t="s">
        <v>48</v>
      </c>
      <c r="AC39" s="19" t="s">
        <v>48</v>
      </c>
      <c r="AD39" s="19" t="s">
        <v>48</v>
      </c>
      <c r="AE39" s="19" t="s">
        <v>48</v>
      </c>
      <c r="AF39" s="19" t="s">
        <v>48</v>
      </c>
      <c r="AG39" s="19" t="s">
        <v>48</v>
      </c>
      <c r="AH39" s="19" t="s">
        <v>48</v>
      </c>
      <c r="AI39" s="19" t="s">
        <v>48</v>
      </c>
      <c r="AJ39" s="19" t="s">
        <v>48</v>
      </c>
      <c r="AK39" s="19" t="s">
        <v>48</v>
      </c>
      <c r="AL39" s="19" t="s">
        <v>48</v>
      </c>
      <c r="AM39" s="19" t="s">
        <v>48</v>
      </c>
      <c r="AN39" s="19" t="s">
        <v>48</v>
      </c>
      <c r="AO39" s="19" t="s">
        <v>48</v>
      </c>
      <c r="AP39" s="19" t="s">
        <v>48</v>
      </c>
      <c r="AQ39" s="19" t="s">
        <v>48</v>
      </c>
      <c r="AR39" s="19" t="s">
        <v>48</v>
      </c>
      <c r="AS39" s="19" t="s">
        <v>49</v>
      </c>
      <c r="AT39" s="1"/>
      <c r="AU39" s="1"/>
      <c r="AV39" s="1"/>
      <c r="AW39" s="1"/>
      <c r="AX39" s="1"/>
    </row>
    <row r="40" spans="1:50" outlineLevel="1">
      <c r="A40" s="10" t="s">
        <v>111</v>
      </c>
      <c r="B40" s="10" t="s">
        <v>44</v>
      </c>
      <c r="C40" s="10" t="s">
        <v>2</v>
      </c>
      <c r="D40" s="10" t="s">
        <v>204</v>
      </c>
      <c r="E40" s="18"/>
      <c r="F40" s="18"/>
      <c r="G40" s="18"/>
      <c r="H40" s="18">
        <v>0.25</v>
      </c>
      <c r="I40" s="18">
        <v>0.3</v>
      </c>
      <c r="J40" s="18">
        <v>0.35</v>
      </c>
      <c r="L40" s="18">
        <v>0.39</v>
      </c>
      <c r="M40" s="18">
        <v>0.45400000000000001</v>
      </c>
      <c r="N40" s="18">
        <v>0.55000000000000004</v>
      </c>
      <c r="O40" s="18">
        <v>0.65</v>
      </c>
      <c r="P40" s="18"/>
      <c r="Q40" s="18">
        <v>0.8</v>
      </c>
      <c r="R40" s="18">
        <v>0.89</v>
      </c>
      <c r="S40" s="18">
        <v>0.97</v>
      </c>
      <c r="T40" s="18"/>
      <c r="U40" s="18">
        <v>1.57</v>
      </c>
      <c r="V40" s="18"/>
      <c r="W40" s="18">
        <v>2.11</v>
      </c>
      <c r="X40" s="18">
        <v>2.69</v>
      </c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9" t="s">
        <v>49</v>
      </c>
      <c r="AT40" s="1"/>
      <c r="AU40" s="1"/>
      <c r="AV40" s="1"/>
      <c r="AW40" s="1"/>
      <c r="AX40" s="1"/>
    </row>
    <row r="41" spans="1:50" outlineLevel="1">
      <c r="A41" s="10" t="s">
        <v>111</v>
      </c>
      <c r="B41" s="10" t="s">
        <v>44</v>
      </c>
      <c r="C41" s="10" t="s">
        <v>106</v>
      </c>
      <c r="D41" s="10" t="s">
        <v>205</v>
      </c>
      <c r="E41" s="18"/>
      <c r="F41" s="18"/>
      <c r="G41" s="18"/>
      <c r="H41" s="18">
        <v>0.25</v>
      </c>
      <c r="I41" s="18">
        <v>0.3</v>
      </c>
      <c r="J41" s="18">
        <v>0.35</v>
      </c>
      <c r="L41" s="18">
        <v>0.39</v>
      </c>
      <c r="M41" s="18">
        <v>0.45400000000000001</v>
      </c>
      <c r="N41" s="18">
        <v>0.55000000000000004</v>
      </c>
      <c r="O41" s="18">
        <v>0.65</v>
      </c>
      <c r="P41" s="18"/>
      <c r="Q41" s="18">
        <v>0.8</v>
      </c>
      <c r="R41" s="18">
        <v>0.89</v>
      </c>
      <c r="S41" s="18">
        <v>0.97</v>
      </c>
      <c r="T41" s="18"/>
      <c r="U41" s="18">
        <v>1.57</v>
      </c>
      <c r="V41" s="18"/>
      <c r="W41" s="18">
        <v>2.11</v>
      </c>
      <c r="X41" s="18">
        <v>2.69</v>
      </c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9" t="s">
        <v>49</v>
      </c>
      <c r="AT41" s="1"/>
      <c r="AU41" s="1"/>
      <c r="AV41" s="1"/>
      <c r="AW41" s="1"/>
      <c r="AX41" s="1"/>
    </row>
    <row r="42" spans="1:50" outlineLevel="1">
      <c r="A42" s="10" t="s">
        <v>111</v>
      </c>
      <c r="B42" s="10" t="s">
        <v>44</v>
      </c>
      <c r="C42" s="10" t="s">
        <v>231</v>
      </c>
      <c r="D42" s="10" t="s">
        <v>206</v>
      </c>
      <c r="E42" s="18"/>
      <c r="F42" s="18"/>
      <c r="G42" s="18"/>
      <c r="H42" s="18">
        <v>0.43</v>
      </c>
      <c r="I42" s="18">
        <v>0.52</v>
      </c>
      <c r="J42" s="18">
        <v>0.6</v>
      </c>
      <c r="L42" s="18">
        <v>0.68</v>
      </c>
      <c r="M42" s="18">
        <v>0.9</v>
      </c>
      <c r="N42" s="18">
        <v>0.98</v>
      </c>
      <c r="O42" s="18">
        <v>1.05</v>
      </c>
      <c r="P42" s="18"/>
      <c r="Q42" s="18">
        <v>1.23</v>
      </c>
      <c r="R42" s="18">
        <v>1.63</v>
      </c>
      <c r="S42" s="18">
        <v>2.0299999999999998</v>
      </c>
      <c r="T42" s="18"/>
      <c r="U42" s="18">
        <v>2.8</v>
      </c>
      <c r="V42" s="18"/>
      <c r="W42" s="18">
        <v>3.75</v>
      </c>
      <c r="X42" s="18">
        <v>4.28</v>
      </c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9" t="s">
        <v>49</v>
      </c>
      <c r="AT42" s="1"/>
      <c r="AU42" s="1"/>
      <c r="AV42" s="1"/>
      <c r="AW42" s="1"/>
      <c r="AX42" s="1"/>
    </row>
    <row r="43" spans="1:50" outlineLevel="1">
      <c r="A43" s="10" t="s">
        <v>111</v>
      </c>
      <c r="B43" s="10" t="s">
        <v>44</v>
      </c>
      <c r="C43" s="10" t="s">
        <v>233</v>
      </c>
      <c r="D43" s="10" t="s">
        <v>207</v>
      </c>
      <c r="E43" s="18"/>
      <c r="F43" s="18"/>
      <c r="G43" s="18"/>
      <c r="H43" s="18">
        <v>0.25</v>
      </c>
      <c r="I43" s="18">
        <v>0.3</v>
      </c>
      <c r="J43" s="18">
        <v>0.35</v>
      </c>
      <c r="L43" s="18">
        <v>0.39</v>
      </c>
      <c r="M43" s="18">
        <v>0.45400000000000001</v>
      </c>
      <c r="N43" s="18">
        <v>0.55000000000000004</v>
      </c>
      <c r="O43" s="18">
        <v>0.65</v>
      </c>
      <c r="P43" s="18"/>
      <c r="Q43" s="18">
        <v>0.8</v>
      </c>
      <c r="R43" s="18">
        <v>0.89</v>
      </c>
      <c r="S43" s="18">
        <v>0.97</v>
      </c>
      <c r="T43" s="18"/>
      <c r="U43" s="18">
        <v>1.57</v>
      </c>
      <c r="V43" s="18"/>
      <c r="W43" s="18">
        <v>2.11</v>
      </c>
      <c r="X43" s="18">
        <v>2.69</v>
      </c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9" t="s">
        <v>49</v>
      </c>
      <c r="AT43" s="1"/>
      <c r="AU43" s="1"/>
      <c r="AV43" s="1"/>
      <c r="AW43" s="1"/>
      <c r="AX43" s="1"/>
    </row>
    <row r="44" spans="1:50" outlineLevel="1">
      <c r="A44" s="10" t="s">
        <v>111</v>
      </c>
      <c r="B44" s="10" t="s">
        <v>44</v>
      </c>
      <c r="C44" s="10" t="s">
        <v>229</v>
      </c>
      <c r="D44" s="10" t="s">
        <v>208</v>
      </c>
      <c r="E44" s="18"/>
      <c r="F44" s="18"/>
      <c r="G44" s="18"/>
      <c r="H44" s="18">
        <v>0.43</v>
      </c>
      <c r="I44" s="18">
        <v>0.52</v>
      </c>
      <c r="J44" s="18">
        <v>0.6</v>
      </c>
      <c r="L44" s="18">
        <v>0.68</v>
      </c>
      <c r="M44" s="18">
        <v>0.9</v>
      </c>
      <c r="N44" s="18">
        <v>0.98</v>
      </c>
      <c r="O44" s="18">
        <v>1.05</v>
      </c>
      <c r="P44" s="18"/>
      <c r="Q44" s="18">
        <v>1.23</v>
      </c>
      <c r="R44" s="18">
        <v>1.63</v>
      </c>
      <c r="S44" s="18">
        <v>2.0299999999999998</v>
      </c>
      <c r="T44" s="18"/>
      <c r="U44" s="18">
        <v>2.8</v>
      </c>
      <c r="V44" s="18"/>
      <c r="W44" s="18">
        <v>3.75</v>
      </c>
      <c r="X44" s="18">
        <v>4.28</v>
      </c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9" t="s">
        <v>49</v>
      </c>
      <c r="AT44" s="1"/>
      <c r="AU44" s="1"/>
      <c r="AV44" s="1"/>
      <c r="AW44" s="1"/>
      <c r="AX44" s="1"/>
    </row>
    <row r="45" spans="1:50" outlineLevel="1">
      <c r="A45" s="10" t="s">
        <v>111</v>
      </c>
      <c r="B45" s="10" t="s">
        <v>44</v>
      </c>
      <c r="C45" s="10" t="s">
        <v>234</v>
      </c>
      <c r="D45" s="10" t="s">
        <v>209</v>
      </c>
      <c r="E45" s="18"/>
      <c r="F45" s="18"/>
      <c r="G45" s="18"/>
      <c r="H45" s="18">
        <v>0.25</v>
      </c>
      <c r="I45" s="18">
        <v>0.3</v>
      </c>
      <c r="J45" s="18">
        <v>0.35</v>
      </c>
      <c r="L45" s="18">
        <v>0.39</v>
      </c>
      <c r="M45" s="18">
        <v>0.45400000000000001</v>
      </c>
      <c r="N45" s="18">
        <v>0.55000000000000004</v>
      </c>
      <c r="O45" s="18">
        <v>0.65</v>
      </c>
      <c r="P45" s="18"/>
      <c r="Q45" s="18">
        <v>0.8</v>
      </c>
      <c r="R45" s="18">
        <v>0.89</v>
      </c>
      <c r="S45" s="18">
        <v>0.97</v>
      </c>
      <c r="T45" s="18"/>
      <c r="U45" s="18">
        <v>1.57</v>
      </c>
      <c r="V45" s="18"/>
      <c r="W45" s="18">
        <v>2.11</v>
      </c>
      <c r="X45" s="18">
        <v>2.69</v>
      </c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9" t="s">
        <v>49</v>
      </c>
      <c r="AT45" s="1"/>
      <c r="AU45" s="1"/>
      <c r="AV45" s="1"/>
      <c r="AW45" s="1"/>
      <c r="AX45" s="1"/>
    </row>
    <row r="46" spans="1:50" outlineLevel="1">
      <c r="A46" s="10" t="s">
        <v>111</v>
      </c>
      <c r="B46" s="10" t="s">
        <v>44</v>
      </c>
      <c r="C46" s="10" t="s">
        <v>228</v>
      </c>
      <c r="D46" s="10" t="s">
        <v>210</v>
      </c>
      <c r="E46" s="18"/>
      <c r="F46" s="18"/>
      <c r="G46" s="18"/>
      <c r="H46" s="18">
        <v>0.43</v>
      </c>
      <c r="I46" s="18">
        <v>0.52</v>
      </c>
      <c r="J46" s="18">
        <v>0.6</v>
      </c>
      <c r="L46" s="18">
        <v>0.68</v>
      </c>
      <c r="M46" s="18">
        <v>0.9</v>
      </c>
      <c r="N46" s="18">
        <v>0.98</v>
      </c>
      <c r="O46" s="18">
        <v>1.05</v>
      </c>
      <c r="P46" s="18"/>
      <c r="Q46" s="18">
        <v>1.23</v>
      </c>
      <c r="R46" s="18">
        <v>1.63</v>
      </c>
      <c r="S46" s="18">
        <v>2.0299999999999998</v>
      </c>
      <c r="T46" s="18"/>
      <c r="U46" s="18">
        <v>2.8</v>
      </c>
      <c r="V46" s="18"/>
      <c r="W46" s="18">
        <v>3.75</v>
      </c>
      <c r="X46" s="18">
        <v>4.28</v>
      </c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9" t="s">
        <v>49</v>
      </c>
      <c r="AT46" s="1"/>
      <c r="AU46" s="1"/>
      <c r="AV46" s="1"/>
      <c r="AW46" s="1"/>
      <c r="AX46" s="1"/>
    </row>
    <row r="47" spans="1:50" outlineLevel="1">
      <c r="A47" s="10" t="s">
        <v>111</v>
      </c>
      <c r="B47" s="10" t="s">
        <v>44</v>
      </c>
      <c r="C47" s="10" t="s">
        <v>51</v>
      </c>
      <c r="D47" s="10" t="s">
        <v>93</v>
      </c>
      <c r="E47" s="18"/>
      <c r="F47" s="18"/>
      <c r="G47" s="18"/>
      <c r="H47" s="59">
        <f t="shared" ref="H47:X47" si="1">H40*3</f>
        <v>0.75</v>
      </c>
      <c r="I47" s="59">
        <f t="shared" si="1"/>
        <v>0.89999999999999991</v>
      </c>
      <c r="J47" s="59">
        <f t="shared" si="1"/>
        <v>1.0499999999999998</v>
      </c>
      <c r="L47" s="59">
        <f t="shared" si="1"/>
        <v>1.17</v>
      </c>
      <c r="M47" s="59">
        <f t="shared" si="1"/>
        <v>1.3620000000000001</v>
      </c>
      <c r="N47" s="59">
        <f t="shared" si="1"/>
        <v>1.6500000000000001</v>
      </c>
      <c r="O47" s="59">
        <f t="shared" si="1"/>
        <v>1.9500000000000002</v>
      </c>
      <c r="P47" s="18"/>
      <c r="Q47" s="59">
        <f t="shared" si="1"/>
        <v>2.4000000000000004</v>
      </c>
      <c r="R47" s="59">
        <f t="shared" si="1"/>
        <v>2.67</v>
      </c>
      <c r="S47" s="59">
        <f t="shared" si="1"/>
        <v>2.91</v>
      </c>
      <c r="T47" s="18"/>
      <c r="U47" s="59">
        <f t="shared" si="1"/>
        <v>4.71</v>
      </c>
      <c r="V47" s="18"/>
      <c r="W47" s="59">
        <f t="shared" si="1"/>
        <v>6.33</v>
      </c>
      <c r="X47" s="59">
        <f t="shared" si="1"/>
        <v>8.07</v>
      </c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9"/>
      <c r="AT47" s="1"/>
      <c r="AU47" s="1"/>
      <c r="AV47" s="1"/>
      <c r="AW47" s="1"/>
      <c r="AX47" s="1"/>
    </row>
    <row r="48" spans="1:50" outlineLevel="1">
      <c r="A48" s="10" t="s">
        <v>111</v>
      </c>
      <c r="B48" s="10" t="s">
        <v>44</v>
      </c>
      <c r="C48" s="24" t="s">
        <v>135</v>
      </c>
      <c r="D48" s="10" t="s">
        <v>99</v>
      </c>
      <c r="E48" s="18"/>
      <c r="F48" s="18"/>
      <c r="G48" s="18"/>
      <c r="H48" s="18"/>
      <c r="I48" s="18"/>
      <c r="J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9" t="s">
        <v>49</v>
      </c>
      <c r="AT48" s="1"/>
      <c r="AU48" s="1"/>
      <c r="AV48" s="1"/>
      <c r="AW48" s="1"/>
      <c r="AX48" s="1"/>
    </row>
    <row r="49" spans="1:50" outlineLevel="1">
      <c r="A49" s="20" t="s">
        <v>250</v>
      </c>
      <c r="B49" s="20" t="s">
        <v>247</v>
      </c>
      <c r="C49" s="20" t="s">
        <v>249</v>
      </c>
      <c r="D49" s="20" t="s">
        <v>48</v>
      </c>
      <c r="E49" s="19" t="s">
        <v>48</v>
      </c>
      <c r="F49" s="19" t="s">
        <v>48</v>
      </c>
      <c r="G49" s="19" t="s">
        <v>48</v>
      </c>
      <c r="H49" s="19" t="s">
        <v>48</v>
      </c>
      <c r="I49" s="19" t="s">
        <v>48</v>
      </c>
      <c r="J49" s="19" t="s">
        <v>48</v>
      </c>
      <c r="K49" s="21" t="s">
        <v>48</v>
      </c>
      <c r="L49" s="19" t="s">
        <v>48</v>
      </c>
      <c r="M49" s="19" t="s">
        <v>48</v>
      </c>
      <c r="N49" s="19" t="s">
        <v>48</v>
      </c>
      <c r="O49" s="19" t="s">
        <v>48</v>
      </c>
      <c r="P49" s="19" t="s">
        <v>48</v>
      </c>
      <c r="Q49" s="19" t="s">
        <v>48</v>
      </c>
      <c r="R49" s="19" t="s">
        <v>48</v>
      </c>
      <c r="S49" s="19" t="s">
        <v>48</v>
      </c>
      <c r="T49" s="19" t="s">
        <v>48</v>
      </c>
      <c r="U49" s="19" t="s">
        <v>48</v>
      </c>
      <c r="V49" s="19"/>
      <c r="W49" s="19" t="s">
        <v>48</v>
      </c>
      <c r="X49" s="19" t="s">
        <v>48</v>
      </c>
      <c r="Y49" s="19" t="s">
        <v>48</v>
      </c>
      <c r="Z49" s="19" t="s">
        <v>48</v>
      </c>
      <c r="AA49" s="19" t="s">
        <v>48</v>
      </c>
      <c r="AB49" s="19" t="s">
        <v>48</v>
      </c>
      <c r="AC49" s="19" t="s">
        <v>48</v>
      </c>
      <c r="AD49" s="19" t="s">
        <v>48</v>
      </c>
      <c r="AE49" s="19" t="s">
        <v>48</v>
      </c>
      <c r="AF49" s="19" t="s">
        <v>48</v>
      </c>
      <c r="AG49" s="19" t="s">
        <v>48</v>
      </c>
      <c r="AH49" s="19" t="s">
        <v>48</v>
      </c>
      <c r="AI49" s="19" t="s">
        <v>48</v>
      </c>
      <c r="AJ49" s="19" t="s">
        <v>48</v>
      </c>
      <c r="AK49" s="19" t="s">
        <v>48</v>
      </c>
      <c r="AL49" s="19" t="s">
        <v>48</v>
      </c>
      <c r="AM49" s="19" t="s">
        <v>48</v>
      </c>
      <c r="AN49" s="19" t="s">
        <v>48</v>
      </c>
      <c r="AO49" s="19" t="s">
        <v>48</v>
      </c>
      <c r="AP49" s="19" t="s">
        <v>48</v>
      </c>
      <c r="AQ49" s="19" t="s">
        <v>48</v>
      </c>
      <c r="AR49" s="19" t="s">
        <v>48</v>
      </c>
      <c r="AS49" s="19" t="s">
        <v>49</v>
      </c>
      <c r="AT49" s="1"/>
      <c r="AU49" s="1"/>
      <c r="AV49" s="1"/>
      <c r="AW49" s="1"/>
      <c r="AX49" s="1"/>
    </row>
    <row r="50" spans="1:50" outlineLevel="1">
      <c r="A50" s="10" t="s">
        <v>112</v>
      </c>
      <c r="B50" s="10" t="s">
        <v>43</v>
      </c>
      <c r="C50" s="10" t="s">
        <v>177</v>
      </c>
      <c r="D50" s="10" t="s">
        <v>223</v>
      </c>
      <c r="E50" s="18"/>
      <c r="F50" s="18"/>
      <c r="G50" s="18"/>
      <c r="H50" s="18">
        <v>0.35</v>
      </c>
      <c r="I50" s="18">
        <v>0.4</v>
      </c>
      <c r="J50" s="18">
        <v>0.5</v>
      </c>
      <c r="L50" s="18">
        <v>0.67</v>
      </c>
      <c r="M50" s="18">
        <v>0.77900000000000003</v>
      </c>
      <c r="N50" s="18">
        <v>0.92</v>
      </c>
      <c r="O50" s="18">
        <v>1.06</v>
      </c>
      <c r="P50" s="18"/>
      <c r="Q50" s="18">
        <v>1.41</v>
      </c>
      <c r="R50" s="18">
        <v>1.91</v>
      </c>
      <c r="S50" s="18">
        <v>2.41</v>
      </c>
      <c r="T50" s="18"/>
      <c r="U50" s="18">
        <v>3</v>
      </c>
      <c r="V50" s="18"/>
      <c r="W50" s="18">
        <v>4.74</v>
      </c>
      <c r="X50" s="18">
        <v>6.03</v>
      </c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9" t="s">
        <v>49</v>
      </c>
      <c r="AT50" s="1"/>
      <c r="AU50" s="1"/>
      <c r="AV50" s="1"/>
      <c r="AW50" s="1"/>
      <c r="AX50" s="1"/>
    </row>
    <row r="51" spans="1:50" outlineLevel="1">
      <c r="A51" s="10" t="s">
        <v>112</v>
      </c>
      <c r="B51" s="10" t="s">
        <v>43</v>
      </c>
      <c r="C51" s="10" t="s">
        <v>176</v>
      </c>
      <c r="D51" s="10" t="s">
        <v>204</v>
      </c>
      <c r="E51" s="18"/>
      <c r="F51" s="18"/>
      <c r="G51" s="18"/>
      <c r="H51" s="18">
        <v>0.35</v>
      </c>
      <c r="I51" s="18">
        <v>0.4</v>
      </c>
      <c r="J51" s="18">
        <v>0.5</v>
      </c>
      <c r="L51" s="18">
        <v>0.67</v>
      </c>
      <c r="M51" s="18">
        <v>0.77900000000000003</v>
      </c>
      <c r="N51" s="18">
        <v>0.92</v>
      </c>
      <c r="O51" s="18">
        <v>1.06</v>
      </c>
      <c r="P51" s="18"/>
      <c r="Q51" s="18">
        <v>1.41</v>
      </c>
      <c r="R51" s="18">
        <v>1.91</v>
      </c>
      <c r="S51" s="18">
        <v>2.41</v>
      </c>
      <c r="T51" s="18"/>
      <c r="U51" s="18">
        <v>3</v>
      </c>
      <c r="V51" s="18"/>
      <c r="W51" s="18">
        <v>4.74</v>
      </c>
      <c r="X51" s="18">
        <v>6.03</v>
      </c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9" t="s">
        <v>49</v>
      </c>
      <c r="AT51" s="1"/>
      <c r="AU51" s="1"/>
      <c r="AV51" s="1"/>
      <c r="AW51" s="1"/>
      <c r="AX51" s="1"/>
    </row>
    <row r="52" spans="1:50" outlineLevel="1">
      <c r="A52" s="10" t="s">
        <v>112</v>
      </c>
      <c r="B52" s="10" t="s">
        <v>43</v>
      </c>
      <c r="C52" s="10" t="s">
        <v>191</v>
      </c>
      <c r="D52" s="10" t="s">
        <v>222</v>
      </c>
      <c r="E52" s="18"/>
      <c r="F52" s="18"/>
      <c r="G52" s="18"/>
      <c r="H52" s="18">
        <v>0.35</v>
      </c>
      <c r="I52" s="18">
        <v>0.4</v>
      </c>
      <c r="J52" s="18">
        <v>0.5</v>
      </c>
      <c r="L52" s="18">
        <v>0.67</v>
      </c>
      <c r="M52" s="18">
        <v>0.77900000000000003</v>
      </c>
      <c r="N52" s="18">
        <v>0.92</v>
      </c>
      <c r="O52" s="18">
        <v>1.06</v>
      </c>
      <c r="P52" s="18"/>
      <c r="Q52" s="18">
        <v>1.41</v>
      </c>
      <c r="R52" s="18">
        <v>1.91</v>
      </c>
      <c r="S52" s="18">
        <v>2.41</v>
      </c>
      <c r="T52" s="18"/>
      <c r="U52" s="18">
        <v>3</v>
      </c>
      <c r="V52" s="18"/>
      <c r="W52" s="18">
        <v>4.74</v>
      </c>
      <c r="X52" s="18">
        <v>6.03</v>
      </c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9" t="s">
        <v>49</v>
      </c>
      <c r="AT52" s="1"/>
      <c r="AU52" s="1"/>
      <c r="AV52" s="1"/>
      <c r="AW52" s="1"/>
      <c r="AX52" s="1"/>
    </row>
    <row r="53" spans="1:50" outlineLevel="1">
      <c r="A53" s="10" t="s">
        <v>112</v>
      </c>
      <c r="B53" s="10" t="s">
        <v>43</v>
      </c>
      <c r="C53" s="10" t="s">
        <v>192</v>
      </c>
      <c r="D53" s="10" t="s">
        <v>206</v>
      </c>
      <c r="E53" s="18"/>
      <c r="F53" s="18"/>
      <c r="G53" s="18"/>
      <c r="H53" s="18">
        <v>0.61</v>
      </c>
      <c r="I53" s="18">
        <v>0.74</v>
      </c>
      <c r="J53" s="18">
        <v>0.85</v>
      </c>
      <c r="L53" s="18">
        <v>1.1599999999999999</v>
      </c>
      <c r="M53" s="18">
        <v>1.35</v>
      </c>
      <c r="N53" s="18">
        <v>1.77</v>
      </c>
      <c r="O53" s="18">
        <v>2.19</v>
      </c>
      <c r="P53" s="18"/>
      <c r="Q53" s="18">
        <v>2.94</v>
      </c>
      <c r="R53" s="18">
        <v>3.98</v>
      </c>
      <c r="S53" s="18">
        <v>5.0199999999999996</v>
      </c>
      <c r="T53" s="18"/>
      <c r="U53" s="18">
        <v>7.17</v>
      </c>
      <c r="V53" s="18"/>
      <c r="W53" s="18">
        <v>8.42</v>
      </c>
      <c r="X53" s="18">
        <v>9.8000000000000007</v>
      </c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9" t="s">
        <v>49</v>
      </c>
      <c r="AT53" s="1"/>
      <c r="AU53" s="1"/>
      <c r="AV53" s="1"/>
      <c r="AW53" s="1"/>
      <c r="AX53" s="1"/>
    </row>
    <row r="54" spans="1:50" outlineLevel="1">
      <c r="A54" s="10" t="s">
        <v>112</v>
      </c>
      <c r="B54" s="10" t="s">
        <v>43</v>
      </c>
      <c r="C54" s="10" t="s">
        <v>232</v>
      </c>
      <c r="D54" s="10" t="s">
        <v>207</v>
      </c>
      <c r="E54" s="18"/>
      <c r="F54" s="18"/>
      <c r="G54" s="18"/>
      <c r="H54" s="18">
        <v>0.35</v>
      </c>
      <c r="I54" s="18">
        <v>0.4</v>
      </c>
      <c r="J54" s="18">
        <v>0.5</v>
      </c>
      <c r="L54" s="18">
        <v>0.67</v>
      </c>
      <c r="M54" s="18">
        <v>0.77900000000000003</v>
      </c>
      <c r="N54" s="18">
        <v>0.92</v>
      </c>
      <c r="O54" s="18">
        <v>1.06</v>
      </c>
      <c r="P54" s="18"/>
      <c r="Q54" s="18">
        <v>1.41</v>
      </c>
      <c r="R54" s="18">
        <v>1.91</v>
      </c>
      <c r="S54" s="18">
        <v>2.41</v>
      </c>
      <c r="T54" s="18"/>
      <c r="U54" s="18">
        <v>3</v>
      </c>
      <c r="V54" s="18"/>
      <c r="W54" s="18">
        <v>4.74</v>
      </c>
      <c r="X54" s="18">
        <v>6.03</v>
      </c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9" t="s">
        <v>49</v>
      </c>
      <c r="AT54" s="1"/>
      <c r="AU54" s="1"/>
      <c r="AV54" s="1"/>
      <c r="AW54" s="1"/>
      <c r="AX54" s="1"/>
    </row>
    <row r="55" spans="1:50" outlineLevel="1">
      <c r="A55" s="10" t="s">
        <v>112</v>
      </c>
      <c r="B55" s="10" t="s">
        <v>43</v>
      </c>
      <c r="C55" s="10" t="s">
        <v>178</v>
      </c>
      <c r="D55" s="10" t="s">
        <v>208</v>
      </c>
      <c r="E55" s="18"/>
      <c r="F55" s="18"/>
      <c r="G55" s="18"/>
      <c r="H55" s="18">
        <v>0.61</v>
      </c>
      <c r="I55" s="18">
        <v>0.74</v>
      </c>
      <c r="J55" s="18">
        <v>0.85</v>
      </c>
      <c r="L55" s="18">
        <v>1.1599999999999999</v>
      </c>
      <c r="M55" s="18">
        <v>1.35</v>
      </c>
      <c r="N55" s="18">
        <v>1.77</v>
      </c>
      <c r="O55" s="18">
        <v>2.19</v>
      </c>
      <c r="P55" s="18"/>
      <c r="Q55" s="18">
        <v>2.94</v>
      </c>
      <c r="R55" s="18">
        <v>3.98</v>
      </c>
      <c r="S55" s="18">
        <v>5.0199999999999996</v>
      </c>
      <c r="T55" s="18"/>
      <c r="U55" s="18">
        <v>7.17</v>
      </c>
      <c r="V55" s="18"/>
      <c r="W55" s="18">
        <v>8.42</v>
      </c>
      <c r="X55" s="18">
        <v>9.8000000000000007</v>
      </c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9" t="s">
        <v>49</v>
      </c>
      <c r="AT55" s="1"/>
      <c r="AU55" s="1"/>
      <c r="AV55" s="1"/>
      <c r="AW55" s="1"/>
      <c r="AX55" s="1"/>
    </row>
    <row r="56" spans="1:50" outlineLevel="1">
      <c r="A56" s="10" t="s">
        <v>112</v>
      </c>
      <c r="B56" s="10" t="s">
        <v>43</v>
      </c>
      <c r="C56" s="10" t="s">
        <v>32</v>
      </c>
      <c r="D56" s="10" t="s">
        <v>209</v>
      </c>
      <c r="E56" s="18"/>
      <c r="F56" s="18"/>
      <c r="G56" s="18"/>
      <c r="H56" s="18">
        <v>0.35</v>
      </c>
      <c r="I56" s="18">
        <v>0.4</v>
      </c>
      <c r="J56" s="18">
        <v>0.5</v>
      </c>
      <c r="L56" s="18">
        <v>0.67</v>
      </c>
      <c r="M56" s="18">
        <v>0.77900000000000003</v>
      </c>
      <c r="N56" s="18">
        <v>0.92</v>
      </c>
      <c r="O56" s="18">
        <v>1.06</v>
      </c>
      <c r="P56" s="18"/>
      <c r="Q56" s="18">
        <v>1.41</v>
      </c>
      <c r="R56" s="18">
        <v>1.91</v>
      </c>
      <c r="S56" s="18">
        <v>2.41</v>
      </c>
      <c r="T56" s="18"/>
      <c r="U56" s="18">
        <v>3</v>
      </c>
      <c r="V56" s="18"/>
      <c r="W56" s="18">
        <v>4.74</v>
      </c>
      <c r="X56" s="18">
        <v>6.03</v>
      </c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9" t="s">
        <v>49</v>
      </c>
      <c r="AT56" s="1"/>
      <c r="AU56" s="1"/>
      <c r="AV56" s="1"/>
      <c r="AW56" s="1"/>
      <c r="AX56" s="1"/>
    </row>
    <row r="57" spans="1:50" outlineLevel="1">
      <c r="A57" s="10" t="s">
        <v>112</v>
      </c>
      <c r="B57" s="10" t="s">
        <v>43</v>
      </c>
      <c r="C57" s="10" t="s">
        <v>179</v>
      </c>
      <c r="D57" s="10" t="s">
        <v>210</v>
      </c>
      <c r="E57" s="18"/>
      <c r="F57" s="18"/>
      <c r="G57" s="18"/>
      <c r="H57" s="18">
        <v>0.61</v>
      </c>
      <c r="I57" s="18">
        <v>0.74</v>
      </c>
      <c r="J57" s="18">
        <v>0.85</v>
      </c>
      <c r="L57" s="18">
        <v>1.1599999999999999</v>
      </c>
      <c r="M57" s="18">
        <v>1.35</v>
      </c>
      <c r="N57" s="18">
        <v>1.77</v>
      </c>
      <c r="O57" s="18">
        <v>2.19</v>
      </c>
      <c r="P57" s="18"/>
      <c r="Q57" s="18">
        <v>2.94</v>
      </c>
      <c r="R57" s="18">
        <v>3.98</v>
      </c>
      <c r="S57" s="18">
        <v>5.0199999999999996</v>
      </c>
      <c r="T57" s="18"/>
      <c r="U57" s="18">
        <v>7.17</v>
      </c>
      <c r="V57" s="18"/>
      <c r="W57" s="18">
        <v>8.42</v>
      </c>
      <c r="X57" s="18">
        <v>9.8000000000000007</v>
      </c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9" t="s">
        <v>49</v>
      </c>
      <c r="AT57" s="1"/>
      <c r="AU57" s="1"/>
      <c r="AV57" s="1"/>
      <c r="AW57" s="1"/>
      <c r="AX57" s="1"/>
    </row>
    <row r="58" spans="1:50" outlineLevel="1">
      <c r="A58" s="10" t="s">
        <v>112</v>
      </c>
      <c r="B58" s="10" t="s">
        <v>43</v>
      </c>
      <c r="C58" s="10" t="s">
        <v>21</v>
      </c>
      <c r="D58" s="10" t="s">
        <v>219</v>
      </c>
      <c r="E58" s="18"/>
      <c r="F58" s="18"/>
      <c r="G58" s="18"/>
      <c r="H58" s="18">
        <v>0.35</v>
      </c>
      <c r="I58" s="18">
        <v>0.4</v>
      </c>
      <c r="J58" s="18">
        <v>0.5</v>
      </c>
      <c r="L58" s="18">
        <v>0.67</v>
      </c>
      <c r="M58" s="18">
        <v>0.77900000000000003</v>
      </c>
      <c r="N58" s="18">
        <v>0.92</v>
      </c>
      <c r="O58" s="18">
        <v>1.06</v>
      </c>
      <c r="P58" s="18"/>
      <c r="Q58" s="18">
        <v>1.41</v>
      </c>
      <c r="R58" s="18">
        <v>1.91</v>
      </c>
      <c r="S58" s="18">
        <v>2.41</v>
      </c>
      <c r="T58" s="18"/>
      <c r="U58" s="18">
        <v>3</v>
      </c>
      <c r="V58" s="18"/>
      <c r="W58" s="18">
        <v>4.74</v>
      </c>
      <c r="X58" s="18">
        <v>6.03</v>
      </c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9" t="s">
        <v>49</v>
      </c>
      <c r="AT58" s="1"/>
      <c r="AU58" s="1"/>
      <c r="AV58" s="1"/>
      <c r="AW58" s="1"/>
      <c r="AX58" s="1"/>
    </row>
    <row r="59" spans="1:50" outlineLevel="1">
      <c r="A59" s="10" t="s">
        <v>112</v>
      </c>
      <c r="B59" s="10" t="s">
        <v>43</v>
      </c>
      <c r="C59" s="10" t="s">
        <v>38</v>
      </c>
      <c r="D59" s="12" t="s">
        <v>226</v>
      </c>
      <c r="E59" s="18"/>
      <c r="F59" s="18"/>
      <c r="G59" s="18"/>
      <c r="H59" s="18">
        <v>0.35</v>
      </c>
      <c r="I59" s="18">
        <v>0.4</v>
      </c>
      <c r="J59" s="18">
        <v>0.5</v>
      </c>
      <c r="L59" s="18">
        <v>0.67</v>
      </c>
      <c r="M59" s="18">
        <v>0.77900000000000003</v>
      </c>
      <c r="N59" s="18">
        <v>0.92</v>
      </c>
      <c r="O59" s="18">
        <v>1.06</v>
      </c>
      <c r="P59" s="18"/>
      <c r="Q59" s="18">
        <v>1.41</v>
      </c>
      <c r="R59" s="18">
        <v>1.91</v>
      </c>
      <c r="S59" s="18">
        <v>2.41</v>
      </c>
      <c r="T59" s="18"/>
      <c r="U59" s="18">
        <v>3</v>
      </c>
      <c r="V59" s="18"/>
      <c r="W59" s="18">
        <v>4.74</v>
      </c>
      <c r="X59" s="18">
        <v>6.03</v>
      </c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9" t="s">
        <v>49</v>
      </c>
      <c r="AT59" s="1"/>
      <c r="AU59" s="1"/>
      <c r="AV59" s="1"/>
      <c r="AW59" s="1"/>
      <c r="AX59" s="1"/>
    </row>
    <row r="60" spans="1:50" outlineLevel="1">
      <c r="A60" s="10" t="s">
        <v>112</v>
      </c>
      <c r="B60" s="10" t="s">
        <v>43</v>
      </c>
      <c r="C60" s="10" t="s">
        <v>5</v>
      </c>
      <c r="D60" s="10" t="s">
        <v>214</v>
      </c>
      <c r="E60" s="18"/>
      <c r="F60" s="18"/>
      <c r="G60" s="18"/>
      <c r="H60" s="18">
        <v>0.35</v>
      </c>
      <c r="I60" s="18">
        <v>0.4</v>
      </c>
      <c r="J60" s="18">
        <v>0.5</v>
      </c>
      <c r="L60" s="18">
        <v>0.67</v>
      </c>
      <c r="M60" s="18">
        <v>0.77900000000000003</v>
      </c>
      <c r="N60" s="18">
        <v>0.92</v>
      </c>
      <c r="O60" s="18">
        <v>1.06</v>
      </c>
      <c r="P60" s="18"/>
      <c r="Q60" s="18">
        <v>1.41</v>
      </c>
      <c r="R60" s="18">
        <v>1.91</v>
      </c>
      <c r="S60" s="18">
        <v>2.41</v>
      </c>
      <c r="T60" s="18"/>
      <c r="U60" s="18">
        <v>3</v>
      </c>
      <c r="V60" s="18"/>
      <c r="W60" s="18">
        <v>4.74</v>
      </c>
      <c r="X60" s="18">
        <v>6.03</v>
      </c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9" t="s">
        <v>49</v>
      </c>
      <c r="AT60" s="1"/>
      <c r="AU60" s="1"/>
      <c r="AV60" s="1"/>
      <c r="AW60" s="1"/>
      <c r="AX60" s="1"/>
    </row>
    <row r="61" spans="1:50" outlineLevel="1">
      <c r="A61" s="10" t="s">
        <v>112</v>
      </c>
      <c r="B61" s="10" t="s">
        <v>43</v>
      </c>
      <c r="C61" s="10" t="s">
        <v>8</v>
      </c>
      <c r="D61" s="10" t="s">
        <v>215</v>
      </c>
      <c r="E61" s="18"/>
      <c r="F61" s="18"/>
      <c r="G61" s="18"/>
      <c r="H61" s="18">
        <v>0.35</v>
      </c>
      <c r="I61" s="18">
        <v>0.4</v>
      </c>
      <c r="J61" s="18">
        <v>0.5</v>
      </c>
      <c r="L61" s="18">
        <v>0.67</v>
      </c>
      <c r="M61" s="18">
        <v>0.77900000000000003</v>
      </c>
      <c r="N61" s="18">
        <v>0.92</v>
      </c>
      <c r="O61" s="18">
        <v>1.06</v>
      </c>
      <c r="P61" s="18"/>
      <c r="Q61" s="18">
        <v>1.41</v>
      </c>
      <c r="R61" s="18">
        <v>1.91</v>
      </c>
      <c r="S61" s="18">
        <v>2.41</v>
      </c>
      <c r="T61" s="18"/>
      <c r="U61" s="18">
        <v>3</v>
      </c>
      <c r="V61" s="18"/>
      <c r="W61" s="18">
        <v>4.74</v>
      </c>
      <c r="X61" s="18">
        <v>6.03</v>
      </c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9" t="s">
        <v>49</v>
      </c>
      <c r="AT61" s="1"/>
      <c r="AU61" s="1"/>
      <c r="AV61" s="1"/>
      <c r="AW61" s="1"/>
      <c r="AX61" s="1"/>
    </row>
    <row r="62" spans="1:50" outlineLevel="1">
      <c r="A62" s="10" t="s">
        <v>112</v>
      </c>
      <c r="B62" s="10" t="s">
        <v>43</v>
      </c>
      <c r="C62" s="10" t="s">
        <v>12</v>
      </c>
      <c r="D62" s="10" t="s">
        <v>224</v>
      </c>
      <c r="E62" s="18"/>
      <c r="F62" s="18"/>
      <c r="G62" s="18"/>
      <c r="H62" s="18">
        <v>0.35</v>
      </c>
      <c r="I62" s="18">
        <v>0.4</v>
      </c>
      <c r="J62" s="18">
        <v>0.5</v>
      </c>
      <c r="L62" s="18">
        <v>0.67</v>
      </c>
      <c r="M62" s="18">
        <v>0.77900000000000003</v>
      </c>
      <c r="N62" s="18">
        <v>0.92</v>
      </c>
      <c r="O62" s="18">
        <v>1.06</v>
      </c>
      <c r="P62" s="18"/>
      <c r="Q62" s="18">
        <v>1.41</v>
      </c>
      <c r="R62" s="18">
        <v>1.91</v>
      </c>
      <c r="S62" s="18">
        <v>2.41</v>
      </c>
      <c r="T62" s="18"/>
      <c r="U62" s="18">
        <v>3</v>
      </c>
      <c r="V62" s="18"/>
      <c r="W62" s="18">
        <v>4.74</v>
      </c>
      <c r="X62" s="18">
        <v>6.03</v>
      </c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9" t="s">
        <v>49</v>
      </c>
      <c r="AT62" s="1"/>
      <c r="AU62" s="1"/>
      <c r="AV62" s="1"/>
      <c r="AW62" s="1"/>
      <c r="AX62" s="1"/>
    </row>
    <row r="63" spans="1:50" outlineLevel="1">
      <c r="A63" s="10" t="s">
        <v>112</v>
      </c>
      <c r="B63" s="10" t="s">
        <v>43</v>
      </c>
      <c r="C63" s="10" t="s">
        <v>17</v>
      </c>
      <c r="D63" s="10" t="s">
        <v>217</v>
      </c>
      <c r="E63" s="18"/>
      <c r="F63" s="18"/>
      <c r="G63" s="18"/>
      <c r="H63" s="18">
        <v>0.35</v>
      </c>
      <c r="I63" s="18">
        <v>0.4</v>
      </c>
      <c r="J63" s="18">
        <v>0.5</v>
      </c>
      <c r="L63" s="18">
        <v>0.67</v>
      </c>
      <c r="M63" s="18">
        <v>0.77900000000000003</v>
      </c>
      <c r="N63" s="18">
        <v>0.92</v>
      </c>
      <c r="O63" s="18">
        <v>1.06</v>
      </c>
      <c r="P63" s="18"/>
      <c r="Q63" s="18">
        <v>1.41</v>
      </c>
      <c r="R63" s="18">
        <v>1.91</v>
      </c>
      <c r="S63" s="18">
        <v>2.41</v>
      </c>
      <c r="T63" s="18"/>
      <c r="U63" s="18">
        <v>3</v>
      </c>
      <c r="V63" s="18"/>
      <c r="W63" s="18">
        <v>4.74</v>
      </c>
      <c r="X63" s="18">
        <v>6.03</v>
      </c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9" t="s">
        <v>49</v>
      </c>
      <c r="AT63" s="1"/>
      <c r="AU63" s="1"/>
      <c r="AV63" s="1"/>
      <c r="AW63" s="1"/>
      <c r="AX63" s="1"/>
    </row>
    <row r="64" spans="1:50" outlineLevel="1">
      <c r="A64" s="10" t="s">
        <v>112</v>
      </c>
      <c r="B64" s="10" t="s">
        <v>43</v>
      </c>
      <c r="C64" s="10" t="s">
        <v>27</v>
      </c>
      <c r="D64" s="10" t="s">
        <v>225</v>
      </c>
      <c r="E64" s="18"/>
      <c r="F64" s="18"/>
      <c r="G64" s="18"/>
      <c r="H64" s="18">
        <v>0.35</v>
      </c>
      <c r="I64" s="18">
        <v>0.4</v>
      </c>
      <c r="J64" s="18">
        <v>0.5</v>
      </c>
      <c r="L64" s="18">
        <v>0.67</v>
      </c>
      <c r="M64" s="18">
        <v>0.77900000000000003</v>
      </c>
      <c r="N64" s="18">
        <v>0.92</v>
      </c>
      <c r="O64" s="18">
        <v>1.06</v>
      </c>
      <c r="P64" s="18"/>
      <c r="Q64" s="18">
        <v>1.41</v>
      </c>
      <c r="R64" s="18">
        <v>1.91</v>
      </c>
      <c r="S64" s="18">
        <v>2.41</v>
      </c>
      <c r="T64" s="18"/>
      <c r="U64" s="18">
        <v>3</v>
      </c>
      <c r="V64" s="18"/>
      <c r="W64" s="18">
        <v>4.74</v>
      </c>
      <c r="X64" s="18">
        <v>6.03</v>
      </c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9" t="s">
        <v>49</v>
      </c>
      <c r="AT64" s="1"/>
      <c r="AU64" s="1"/>
      <c r="AV64" s="1"/>
      <c r="AW64" s="1"/>
      <c r="AX64" s="1"/>
    </row>
    <row r="65" spans="1:50" outlineLevel="1">
      <c r="A65" s="10" t="s">
        <v>112</v>
      </c>
      <c r="B65" s="10" t="s">
        <v>43</v>
      </c>
      <c r="C65" s="24" t="s">
        <v>135</v>
      </c>
      <c r="D65" s="12" t="s">
        <v>193</v>
      </c>
      <c r="E65" s="18"/>
      <c r="F65" s="18"/>
      <c r="G65" s="18"/>
      <c r="H65" s="18"/>
      <c r="I65" s="18"/>
      <c r="J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9" t="s">
        <v>48</v>
      </c>
      <c r="AT65" s="1"/>
      <c r="AU65" s="1"/>
      <c r="AV65" s="1"/>
      <c r="AW65" s="1"/>
      <c r="AX65" s="1"/>
    </row>
    <row r="66" spans="1:50" outlineLevel="1">
      <c r="A66" s="20" t="s">
        <v>247</v>
      </c>
      <c r="B66" s="20" t="s">
        <v>246</v>
      </c>
      <c r="C66" s="20" t="s">
        <v>247</v>
      </c>
      <c r="D66" s="20" t="s">
        <v>48</v>
      </c>
      <c r="E66" s="19" t="s">
        <v>48</v>
      </c>
      <c r="F66" s="19" t="s">
        <v>48</v>
      </c>
      <c r="G66" s="19" t="s">
        <v>48</v>
      </c>
      <c r="H66" s="19" t="s">
        <v>48</v>
      </c>
      <c r="I66" s="19" t="s">
        <v>48</v>
      </c>
      <c r="J66" s="19" t="s">
        <v>48</v>
      </c>
      <c r="K66" s="21" t="s">
        <v>48</v>
      </c>
      <c r="L66" s="19" t="s">
        <v>48</v>
      </c>
      <c r="M66" s="19" t="s">
        <v>48</v>
      </c>
      <c r="N66" s="19" t="s">
        <v>48</v>
      </c>
      <c r="O66" s="19" t="s">
        <v>48</v>
      </c>
      <c r="P66" s="19" t="s">
        <v>48</v>
      </c>
      <c r="Q66" s="19" t="s">
        <v>48</v>
      </c>
      <c r="R66" s="19" t="s">
        <v>48</v>
      </c>
      <c r="S66" s="19" t="s">
        <v>48</v>
      </c>
      <c r="T66" s="19" t="s">
        <v>48</v>
      </c>
      <c r="U66" s="19" t="s">
        <v>48</v>
      </c>
      <c r="V66" s="19"/>
      <c r="W66" s="19" t="s">
        <v>48</v>
      </c>
      <c r="X66" s="19" t="s">
        <v>48</v>
      </c>
      <c r="Y66" s="19" t="s">
        <v>48</v>
      </c>
      <c r="Z66" s="19" t="s">
        <v>48</v>
      </c>
      <c r="AA66" s="19" t="s">
        <v>48</v>
      </c>
      <c r="AB66" s="19" t="s">
        <v>48</v>
      </c>
      <c r="AC66" s="19" t="s">
        <v>48</v>
      </c>
      <c r="AD66" s="19" t="s">
        <v>48</v>
      </c>
      <c r="AE66" s="19" t="s">
        <v>48</v>
      </c>
      <c r="AF66" s="19" t="s">
        <v>48</v>
      </c>
      <c r="AG66" s="19" t="s">
        <v>48</v>
      </c>
      <c r="AH66" s="19" t="s">
        <v>48</v>
      </c>
      <c r="AI66" s="19" t="s">
        <v>48</v>
      </c>
      <c r="AJ66" s="19" t="s">
        <v>48</v>
      </c>
      <c r="AK66" s="19" t="s">
        <v>48</v>
      </c>
      <c r="AL66" s="19" t="s">
        <v>48</v>
      </c>
      <c r="AM66" s="19" t="s">
        <v>48</v>
      </c>
      <c r="AN66" s="19" t="s">
        <v>48</v>
      </c>
      <c r="AO66" s="19" t="s">
        <v>48</v>
      </c>
      <c r="AP66" s="19" t="s">
        <v>48</v>
      </c>
      <c r="AQ66" s="19" t="s">
        <v>48</v>
      </c>
      <c r="AR66" s="19" t="s">
        <v>48</v>
      </c>
      <c r="AS66" s="19" t="s">
        <v>49</v>
      </c>
      <c r="AT66" s="1"/>
      <c r="AU66" s="1"/>
      <c r="AV66" s="1"/>
      <c r="AW66" s="1"/>
      <c r="AX66" s="1"/>
    </row>
    <row r="67" spans="1:50" s="29" customFormat="1">
      <c r="A67" s="17" t="s">
        <v>263</v>
      </c>
      <c r="B67" s="16"/>
      <c r="C67" s="16"/>
      <c r="D67" s="16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19" t="s">
        <v>49</v>
      </c>
      <c r="AT67" s="5"/>
      <c r="AU67" s="5"/>
      <c r="AV67" s="5"/>
      <c r="AW67" s="5"/>
      <c r="AX67" s="5"/>
    </row>
    <row r="68" spans="1:50">
      <c r="A68" s="12"/>
      <c r="B68" s="12"/>
      <c r="C68" s="10"/>
      <c r="D68" s="10"/>
      <c r="E68" s="1"/>
      <c r="F68" s="1"/>
      <c r="G68" s="1"/>
      <c r="H68" s="1"/>
      <c r="I68" s="1"/>
      <c r="J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9" t="s">
        <v>49</v>
      </c>
      <c r="AT68" s="1"/>
      <c r="AU68" s="1"/>
      <c r="AV68" s="1"/>
      <c r="AW68" s="1"/>
      <c r="AX68" s="1"/>
    </row>
    <row r="69" spans="1:50" outlineLevel="1">
      <c r="A69" s="15" t="s">
        <v>100</v>
      </c>
      <c r="B69" s="13" t="s">
        <v>39</v>
      </c>
      <c r="C69" s="10" t="s">
        <v>1</v>
      </c>
      <c r="D69" s="10" t="s">
        <v>85</v>
      </c>
      <c r="E69" s="1"/>
      <c r="F69" s="1"/>
      <c r="G69" s="1"/>
      <c r="H69" s="1">
        <v>0.13</v>
      </c>
      <c r="I69" s="1">
        <v>0.16</v>
      </c>
      <c r="J69" s="1">
        <v>0.23</v>
      </c>
      <c r="L69" s="1">
        <v>0.36</v>
      </c>
      <c r="M69" s="1">
        <v>0.48</v>
      </c>
      <c r="N69" s="1">
        <v>0.68</v>
      </c>
      <c r="O69" s="1">
        <v>0.8</v>
      </c>
      <c r="P69" s="1"/>
      <c r="Q69" s="1">
        <v>1.1100000000000001</v>
      </c>
      <c r="R69" s="1">
        <v>1.34</v>
      </c>
      <c r="S69" s="1">
        <v>1.9</v>
      </c>
      <c r="T69" s="1"/>
      <c r="U69" s="1">
        <v>2.9</v>
      </c>
      <c r="V69" s="1"/>
      <c r="W69" s="1">
        <v>4.0999999999999996</v>
      </c>
      <c r="X69" s="1">
        <v>5.0999999999999996</v>
      </c>
      <c r="Y69" s="1">
        <v>6.5</v>
      </c>
      <c r="Z69" s="1">
        <v>7.5</v>
      </c>
      <c r="AA69" s="1"/>
      <c r="AB69" s="5"/>
      <c r="AC69" s="22" t="s">
        <v>97</v>
      </c>
      <c r="AD69" s="22" t="s">
        <v>97</v>
      </c>
      <c r="AE69" s="22" t="s">
        <v>97</v>
      </c>
      <c r="AF69" s="22" t="s">
        <v>97</v>
      </c>
      <c r="AG69" s="22" t="s">
        <v>97</v>
      </c>
      <c r="AH69" s="22" t="s">
        <v>97</v>
      </c>
      <c r="AI69" s="22" t="s">
        <v>97</v>
      </c>
      <c r="AJ69" s="22" t="s">
        <v>97</v>
      </c>
      <c r="AK69" s="22" t="s">
        <v>97</v>
      </c>
      <c r="AL69" s="22" t="s">
        <v>97</v>
      </c>
      <c r="AM69" s="22" t="s">
        <v>97</v>
      </c>
      <c r="AN69" s="22" t="s">
        <v>97</v>
      </c>
      <c r="AO69" s="22" t="s">
        <v>97</v>
      </c>
      <c r="AP69" s="22" t="s">
        <v>97</v>
      </c>
      <c r="AQ69" s="22" t="s">
        <v>97</v>
      </c>
      <c r="AR69" s="22" t="s">
        <v>97</v>
      </c>
      <c r="AS69" s="19" t="s">
        <v>49</v>
      </c>
      <c r="AT69" s="1"/>
      <c r="AU69" s="1"/>
      <c r="AV69" s="1"/>
      <c r="AW69" s="1"/>
      <c r="AX69" s="1"/>
    </row>
    <row r="70" spans="1:50" outlineLevel="1">
      <c r="A70" s="15" t="s">
        <v>100</v>
      </c>
      <c r="B70" s="13" t="s">
        <v>39</v>
      </c>
      <c r="C70" s="10" t="s">
        <v>50</v>
      </c>
      <c r="D70" s="10" t="s">
        <v>86</v>
      </c>
      <c r="E70" s="1"/>
      <c r="F70" s="1"/>
      <c r="G70" s="1"/>
      <c r="H70" s="1">
        <v>0.17</v>
      </c>
      <c r="I70" s="1">
        <v>0.22</v>
      </c>
      <c r="J70" s="1">
        <v>0.31</v>
      </c>
      <c r="L70" s="1">
        <v>0.48</v>
      </c>
      <c r="M70" s="1">
        <v>0.65</v>
      </c>
      <c r="N70" s="1">
        <v>0.91</v>
      </c>
      <c r="O70" s="1">
        <v>1.07</v>
      </c>
      <c r="P70" s="1"/>
      <c r="Q70" s="1">
        <v>1.49</v>
      </c>
      <c r="R70" s="1">
        <v>1.83</v>
      </c>
      <c r="S70" s="1">
        <v>2.5</v>
      </c>
      <c r="T70" s="1"/>
      <c r="U70" s="1">
        <v>3.8</v>
      </c>
      <c r="V70" s="1"/>
      <c r="W70" s="1">
        <v>5.3</v>
      </c>
      <c r="X70" s="1">
        <v>6.6</v>
      </c>
      <c r="Y70" s="1">
        <v>0</v>
      </c>
      <c r="Z70" s="1"/>
      <c r="AA70" s="1"/>
      <c r="AB70" s="1"/>
      <c r="AC70" s="22" t="s">
        <v>97</v>
      </c>
      <c r="AD70" s="22" t="s">
        <v>97</v>
      </c>
      <c r="AE70" s="22" t="s">
        <v>97</v>
      </c>
      <c r="AF70" s="22" t="s">
        <v>97</v>
      </c>
      <c r="AG70" s="22" t="s">
        <v>97</v>
      </c>
      <c r="AH70" s="22" t="s">
        <v>97</v>
      </c>
      <c r="AI70" s="22" t="s">
        <v>97</v>
      </c>
      <c r="AJ70" s="22" t="s">
        <v>97</v>
      </c>
      <c r="AK70" s="22" t="s">
        <v>97</v>
      </c>
      <c r="AL70" s="22" t="s">
        <v>97</v>
      </c>
      <c r="AM70" s="22" t="s">
        <v>97</v>
      </c>
      <c r="AN70" s="22" t="s">
        <v>97</v>
      </c>
      <c r="AO70" s="22" t="s">
        <v>97</v>
      </c>
      <c r="AP70" s="22" t="s">
        <v>97</v>
      </c>
      <c r="AQ70" s="22" t="s">
        <v>97</v>
      </c>
      <c r="AR70" s="22" t="s">
        <v>97</v>
      </c>
      <c r="AS70" s="19" t="s">
        <v>49</v>
      </c>
      <c r="AT70" s="1"/>
      <c r="AU70" s="1"/>
      <c r="AV70" s="1"/>
      <c r="AW70" s="1"/>
      <c r="AX70" s="1"/>
    </row>
    <row r="71" spans="1:50" outlineLevel="1">
      <c r="A71" s="15" t="s">
        <v>100</v>
      </c>
      <c r="B71" s="13" t="s">
        <v>39</v>
      </c>
      <c r="C71" s="14" t="s">
        <v>14</v>
      </c>
      <c r="D71" s="10" t="s">
        <v>63</v>
      </c>
      <c r="E71" s="1"/>
      <c r="F71" s="1"/>
      <c r="G71" s="1"/>
      <c r="H71" s="1">
        <v>0.4</v>
      </c>
      <c r="I71" s="1">
        <v>0.36</v>
      </c>
      <c r="J71" s="1">
        <v>0.49</v>
      </c>
      <c r="L71" s="1">
        <v>0.7</v>
      </c>
      <c r="M71" s="1">
        <v>0.87</v>
      </c>
      <c r="N71" s="1">
        <v>1.39</v>
      </c>
      <c r="O71" s="1">
        <v>1.73</v>
      </c>
      <c r="P71" s="1"/>
      <c r="Q71" s="1">
        <v>2.5299999999999998</v>
      </c>
      <c r="R71" s="1">
        <v>3.66</v>
      </c>
      <c r="S71" s="1">
        <v>5</v>
      </c>
      <c r="T71" s="22" t="s">
        <v>97</v>
      </c>
      <c r="U71" s="1">
        <v>7.8</v>
      </c>
      <c r="V71" s="22" t="s">
        <v>97</v>
      </c>
      <c r="W71" s="1">
        <v>11.8</v>
      </c>
      <c r="X71" s="1">
        <v>16.600000000000001</v>
      </c>
      <c r="Y71" s="1">
        <v>0</v>
      </c>
      <c r="Z71" s="1"/>
      <c r="AA71" s="1"/>
      <c r="AB71" s="1"/>
      <c r="AC71" s="22" t="s">
        <v>97</v>
      </c>
      <c r="AD71" s="22" t="s">
        <v>97</v>
      </c>
      <c r="AE71" s="22" t="s">
        <v>97</v>
      </c>
      <c r="AF71" s="22" t="s">
        <v>97</v>
      </c>
      <c r="AG71" s="22" t="s">
        <v>97</v>
      </c>
      <c r="AH71" s="22" t="s">
        <v>97</v>
      </c>
      <c r="AI71" s="22" t="s">
        <v>97</v>
      </c>
      <c r="AJ71" s="22" t="s">
        <v>97</v>
      </c>
      <c r="AK71" s="22" t="s">
        <v>97</v>
      </c>
      <c r="AL71" s="22" t="s">
        <v>97</v>
      </c>
      <c r="AM71" s="22" t="s">
        <v>97</v>
      </c>
      <c r="AN71" s="22" t="s">
        <v>97</v>
      </c>
      <c r="AO71" s="22" t="s">
        <v>97</v>
      </c>
      <c r="AP71" s="22" t="s">
        <v>97</v>
      </c>
      <c r="AQ71" s="22" t="s">
        <v>97</v>
      </c>
      <c r="AR71" s="22" t="s">
        <v>97</v>
      </c>
      <c r="AS71" s="19" t="s">
        <v>49</v>
      </c>
      <c r="AT71" s="1"/>
      <c r="AU71" s="1"/>
      <c r="AV71" s="1"/>
      <c r="AW71" s="1"/>
      <c r="AX71" s="1"/>
    </row>
    <row r="72" spans="1:50" outlineLevel="1">
      <c r="A72" s="15" t="s">
        <v>100</v>
      </c>
      <c r="B72" s="13" t="s">
        <v>39</v>
      </c>
      <c r="C72" s="14" t="s">
        <v>19</v>
      </c>
      <c r="D72" s="10" t="s">
        <v>65</v>
      </c>
      <c r="E72" s="1"/>
      <c r="F72" s="1"/>
      <c r="G72" s="1"/>
      <c r="H72" s="1">
        <v>0.32</v>
      </c>
      <c r="I72" s="1">
        <v>0.28000000000000003</v>
      </c>
      <c r="J72" s="1">
        <v>0.38</v>
      </c>
      <c r="L72" s="1">
        <v>0.53</v>
      </c>
      <c r="M72" s="1">
        <v>0.7</v>
      </c>
      <c r="N72" s="1">
        <v>1.06</v>
      </c>
      <c r="O72" s="1">
        <v>1.28</v>
      </c>
      <c r="P72" s="1"/>
      <c r="Q72" s="1">
        <v>1.81</v>
      </c>
      <c r="R72" s="1">
        <v>2.4700000000000002</v>
      </c>
      <c r="S72" s="1">
        <v>3.2</v>
      </c>
      <c r="T72" s="22" t="s">
        <v>97</v>
      </c>
      <c r="U72" s="1">
        <v>4.9000000000000004</v>
      </c>
      <c r="V72" s="22" t="s">
        <v>97</v>
      </c>
      <c r="W72" s="1">
        <v>7.1</v>
      </c>
      <c r="X72" s="1">
        <v>10.1</v>
      </c>
      <c r="Y72" s="1">
        <v>0</v>
      </c>
      <c r="Z72" s="1"/>
      <c r="AA72" s="1"/>
      <c r="AB72" s="1"/>
      <c r="AC72" s="22" t="s">
        <v>97</v>
      </c>
      <c r="AD72" s="22" t="s">
        <v>97</v>
      </c>
      <c r="AE72" s="22" t="s">
        <v>97</v>
      </c>
      <c r="AF72" s="22" t="s">
        <v>97</v>
      </c>
      <c r="AG72" s="22" t="s">
        <v>97</v>
      </c>
      <c r="AH72" s="22" t="s">
        <v>97</v>
      </c>
      <c r="AI72" s="22" t="s">
        <v>97</v>
      </c>
      <c r="AJ72" s="22" t="s">
        <v>97</v>
      </c>
      <c r="AK72" s="22" t="s">
        <v>97</v>
      </c>
      <c r="AL72" s="22" t="s">
        <v>97</v>
      </c>
      <c r="AM72" s="22" t="s">
        <v>97</v>
      </c>
      <c r="AN72" s="22" t="s">
        <v>97</v>
      </c>
      <c r="AO72" s="22" t="s">
        <v>97</v>
      </c>
      <c r="AP72" s="22" t="s">
        <v>97</v>
      </c>
      <c r="AQ72" s="22" t="s">
        <v>97</v>
      </c>
      <c r="AR72" s="22" t="s">
        <v>97</v>
      </c>
      <c r="AS72" s="19" t="s">
        <v>49</v>
      </c>
      <c r="AT72" s="1"/>
      <c r="AU72" s="1"/>
      <c r="AV72" s="1"/>
      <c r="AW72" s="1"/>
      <c r="AX72" s="1"/>
    </row>
    <row r="73" spans="1:50" outlineLevel="1">
      <c r="A73" s="15" t="s">
        <v>100</v>
      </c>
      <c r="B73" s="13" t="s">
        <v>39</v>
      </c>
      <c r="C73" s="14" t="s">
        <v>23</v>
      </c>
      <c r="D73" s="10" t="s">
        <v>67</v>
      </c>
      <c r="E73" s="1"/>
      <c r="F73" s="1"/>
      <c r="G73" s="1"/>
      <c r="H73" s="1">
        <v>0.68</v>
      </c>
      <c r="I73" s="1">
        <v>0.83</v>
      </c>
      <c r="J73" s="1">
        <v>1.25</v>
      </c>
      <c r="L73" s="1">
        <v>1.74</v>
      </c>
      <c r="M73" s="1">
        <v>2.19</v>
      </c>
      <c r="N73" s="1">
        <v>2.8</v>
      </c>
      <c r="O73" s="1">
        <v>3.28</v>
      </c>
      <c r="P73" s="1"/>
      <c r="Q73" s="1">
        <v>4.24</v>
      </c>
      <c r="R73" s="1">
        <v>6.07</v>
      </c>
      <c r="S73" s="1">
        <v>7.2</v>
      </c>
      <c r="T73" s="1"/>
      <c r="U73" s="1">
        <v>11.3</v>
      </c>
      <c r="V73" s="1"/>
      <c r="W73" s="1">
        <v>14.2</v>
      </c>
      <c r="X73" s="1">
        <v>19.399999999999999</v>
      </c>
      <c r="Y73" s="22" t="s">
        <v>97</v>
      </c>
      <c r="Z73" s="22" t="s">
        <v>97</v>
      </c>
      <c r="AA73" s="22" t="s">
        <v>97</v>
      </c>
      <c r="AB73" s="22" t="s">
        <v>97</v>
      </c>
      <c r="AC73" s="22" t="s">
        <v>97</v>
      </c>
      <c r="AD73" s="22" t="s">
        <v>97</v>
      </c>
      <c r="AE73" s="22" t="s">
        <v>97</v>
      </c>
      <c r="AF73" s="22" t="s">
        <v>97</v>
      </c>
      <c r="AG73" s="22" t="s">
        <v>97</v>
      </c>
      <c r="AH73" s="22" t="s">
        <v>97</v>
      </c>
      <c r="AI73" s="22" t="s">
        <v>97</v>
      </c>
      <c r="AJ73" s="22" t="s">
        <v>97</v>
      </c>
      <c r="AK73" s="22" t="s">
        <v>97</v>
      </c>
      <c r="AL73" s="22" t="s">
        <v>97</v>
      </c>
      <c r="AM73" s="22" t="s">
        <v>97</v>
      </c>
      <c r="AN73" s="22" t="s">
        <v>97</v>
      </c>
      <c r="AO73" s="22" t="s">
        <v>97</v>
      </c>
      <c r="AP73" s="22" t="s">
        <v>97</v>
      </c>
      <c r="AQ73" s="22" t="s">
        <v>97</v>
      </c>
      <c r="AR73" s="22" t="s">
        <v>97</v>
      </c>
      <c r="AS73" s="19" t="s">
        <v>49</v>
      </c>
      <c r="AT73" s="1"/>
      <c r="AU73" s="1"/>
      <c r="AV73" s="1"/>
      <c r="AW73" s="1"/>
      <c r="AX73" s="1"/>
    </row>
    <row r="74" spans="1:50" outlineLevel="1">
      <c r="A74" s="15" t="s">
        <v>100</v>
      </c>
      <c r="B74" s="13" t="s">
        <v>39</v>
      </c>
      <c r="C74" s="14" t="s">
        <v>28</v>
      </c>
      <c r="D74" s="10" t="s">
        <v>72</v>
      </c>
      <c r="E74" s="1"/>
      <c r="F74" s="1"/>
      <c r="G74" s="1"/>
      <c r="H74" s="1">
        <v>0.85</v>
      </c>
      <c r="I74" s="1">
        <v>1.03</v>
      </c>
      <c r="J74" s="1">
        <v>1.52</v>
      </c>
      <c r="L74" s="1">
        <v>2.5099999999999998</v>
      </c>
      <c r="M74" s="1">
        <v>2.87</v>
      </c>
      <c r="N74" s="1">
        <v>5.07</v>
      </c>
      <c r="O74" s="1">
        <v>6.44</v>
      </c>
      <c r="P74" s="1"/>
      <c r="Q74" s="1">
        <v>9.1300000000000008</v>
      </c>
      <c r="R74" s="1">
        <v>12.48</v>
      </c>
      <c r="S74" s="1">
        <v>16</v>
      </c>
      <c r="T74" s="1"/>
      <c r="U74" s="1">
        <v>12.2</v>
      </c>
      <c r="V74" s="1"/>
      <c r="W74" s="1">
        <v>35.299999999999997</v>
      </c>
      <c r="X74" s="1">
        <v>46.7</v>
      </c>
      <c r="Y74" s="1">
        <v>0</v>
      </c>
      <c r="Z74" s="1"/>
      <c r="AA74" s="1"/>
      <c r="AB74" s="1"/>
      <c r="AC74" s="1"/>
      <c r="AD74" s="1"/>
      <c r="AE74" s="1"/>
      <c r="AF74" s="22" t="s">
        <v>97</v>
      </c>
      <c r="AG74" s="22" t="s">
        <v>97</v>
      </c>
      <c r="AH74" s="22" t="s">
        <v>97</v>
      </c>
      <c r="AI74" s="22" t="s">
        <v>97</v>
      </c>
      <c r="AJ74" s="22" t="s">
        <v>97</v>
      </c>
      <c r="AK74" s="22" t="s">
        <v>97</v>
      </c>
      <c r="AL74" s="22" t="s">
        <v>97</v>
      </c>
      <c r="AM74" s="22" t="s">
        <v>97</v>
      </c>
      <c r="AN74" s="22" t="s">
        <v>97</v>
      </c>
      <c r="AO74" s="22" t="s">
        <v>97</v>
      </c>
      <c r="AP74" s="22" t="s">
        <v>97</v>
      </c>
      <c r="AQ74" s="22" t="s">
        <v>97</v>
      </c>
      <c r="AR74" s="22" t="s">
        <v>97</v>
      </c>
      <c r="AS74" s="19" t="s">
        <v>49</v>
      </c>
      <c r="AT74" s="1"/>
      <c r="AU74" s="1"/>
      <c r="AV74" s="1"/>
      <c r="AW74" s="1"/>
      <c r="AX74" s="1"/>
    </row>
    <row r="75" spans="1:50" outlineLevel="1">
      <c r="A75" s="15" t="s">
        <v>100</v>
      </c>
      <c r="B75" s="13" t="s">
        <v>39</v>
      </c>
      <c r="C75" s="14" t="s">
        <v>30</v>
      </c>
      <c r="D75" s="10" t="s">
        <v>77</v>
      </c>
      <c r="E75" s="1"/>
      <c r="F75" s="1"/>
      <c r="G75" s="1"/>
      <c r="H75" s="1">
        <v>0.86</v>
      </c>
      <c r="I75" s="1">
        <v>1.06</v>
      </c>
      <c r="J75" s="1">
        <v>1.67</v>
      </c>
      <c r="L75" s="1">
        <v>2.35</v>
      </c>
      <c r="M75" s="1">
        <v>2.97</v>
      </c>
      <c r="N75" s="1">
        <v>3.78</v>
      </c>
      <c r="O75" s="1">
        <v>4.4400000000000004</v>
      </c>
      <c r="P75" s="1"/>
      <c r="Q75" s="1">
        <v>5.74</v>
      </c>
      <c r="R75" s="1">
        <v>8.07</v>
      </c>
      <c r="S75" s="1">
        <v>9.6999999999999993</v>
      </c>
      <c r="T75" s="1"/>
      <c r="U75" s="1">
        <v>15.1</v>
      </c>
      <c r="V75" s="1"/>
      <c r="W75" s="1">
        <v>18.899999999999999</v>
      </c>
      <c r="X75" s="1">
        <v>25.8</v>
      </c>
      <c r="Y75" s="22" t="s">
        <v>97</v>
      </c>
      <c r="Z75" s="22" t="s">
        <v>97</v>
      </c>
      <c r="AA75" s="22" t="s">
        <v>97</v>
      </c>
      <c r="AB75" s="22" t="s">
        <v>97</v>
      </c>
      <c r="AC75" s="22" t="s">
        <v>97</v>
      </c>
      <c r="AD75" s="22" t="s">
        <v>97</v>
      </c>
      <c r="AE75" s="22" t="s">
        <v>97</v>
      </c>
      <c r="AF75" s="22" t="s">
        <v>97</v>
      </c>
      <c r="AG75" s="22" t="s">
        <v>97</v>
      </c>
      <c r="AH75" s="22" t="s">
        <v>97</v>
      </c>
      <c r="AI75" s="22" t="s">
        <v>97</v>
      </c>
      <c r="AJ75" s="22" t="s">
        <v>97</v>
      </c>
      <c r="AK75" s="22" t="s">
        <v>97</v>
      </c>
      <c r="AL75" s="22" t="s">
        <v>97</v>
      </c>
      <c r="AM75" s="22" t="s">
        <v>97</v>
      </c>
      <c r="AN75" s="22" t="s">
        <v>97</v>
      </c>
      <c r="AO75" s="22" t="s">
        <v>97</v>
      </c>
      <c r="AP75" s="22" t="s">
        <v>97</v>
      </c>
      <c r="AQ75" s="22" t="s">
        <v>97</v>
      </c>
      <c r="AR75" s="22" t="s">
        <v>97</v>
      </c>
      <c r="AS75" s="19" t="s">
        <v>49</v>
      </c>
      <c r="AT75" s="1"/>
      <c r="AU75" s="1"/>
      <c r="AV75" s="1"/>
      <c r="AW75" s="1"/>
      <c r="AX75" s="1"/>
    </row>
    <row r="76" spans="1:50" outlineLevel="1">
      <c r="A76" s="15" t="s">
        <v>100</v>
      </c>
      <c r="B76" s="13" t="s">
        <v>39</v>
      </c>
      <c r="C76" s="14" t="s">
        <v>33</v>
      </c>
      <c r="D76" s="10" t="s">
        <v>80</v>
      </c>
      <c r="E76" s="1"/>
      <c r="F76" s="1"/>
      <c r="G76" s="1"/>
      <c r="H76" s="1">
        <v>1.1100000000000001</v>
      </c>
      <c r="I76" s="1">
        <v>1.36</v>
      </c>
      <c r="J76" s="1">
        <v>2</v>
      </c>
      <c r="L76" s="1">
        <v>3.37</v>
      </c>
      <c r="M76" s="1">
        <v>3.89</v>
      </c>
      <c r="N76" s="1">
        <v>6.72</v>
      </c>
      <c r="O76" s="1">
        <v>8.51</v>
      </c>
      <c r="P76" s="1"/>
      <c r="Q76" s="1">
        <v>11.74</v>
      </c>
      <c r="R76" s="1">
        <v>16.43</v>
      </c>
      <c r="S76" s="1">
        <v>21</v>
      </c>
      <c r="T76" s="1"/>
      <c r="U76" s="1">
        <v>31.9</v>
      </c>
      <c r="V76" s="1"/>
      <c r="W76" s="1">
        <v>46.1</v>
      </c>
      <c r="X76" s="1">
        <v>60.9</v>
      </c>
      <c r="Y76" s="1">
        <v>0</v>
      </c>
      <c r="Z76" s="1"/>
      <c r="AA76" s="1"/>
      <c r="AB76" s="1"/>
      <c r="AC76" s="1"/>
      <c r="AD76" s="1"/>
      <c r="AE76" s="1"/>
      <c r="AF76" s="22" t="s">
        <v>97</v>
      </c>
      <c r="AG76" s="22" t="s">
        <v>97</v>
      </c>
      <c r="AH76" s="22" t="s">
        <v>97</v>
      </c>
      <c r="AI76" s="22" t="s">
        <v>97</v>
      </c>
      <c r="AJ76" s="22" t="s">
        <v>97</v>
      </c>
      <c r="AK76" s="22" t="s">
        <v>97</v>
      </c>
      <c r="AL76" s="22" t="s">
        <v>97</v>
      </c>
      <c r="AM76" s="22" t="s">
        <v>97</v>
      </c>
      <c r="AN76" s="22" t="s">
        <v>97</v>
      </c>
      <c r="AO76" s="22" t="s">
        <v>97</v>
      </c>
      <c r="AP76" s="22" t="s">
        <v>97</v>
      </c>
      <c r="AQ76" s="22" t="s">
        <v>97</v>
      </c>
      <c r="AR76" s="22" t="s">
        <v>97</v>
      </c>
      <c r="AS76" s="19" t="s">
        <v>49</v>
      </c>
      <c r="AT76" s="1"/>
      <c r="AU76" s="1"/>
      <c r="AV76" s="1"/>
      <c r="AW76" s="1"/>
      <c r="AX76" s="1"/>
    </row>
    <row r="77" spans="1:50" outlineLevel="1">
      <c r="A77" s="15" t="s">
        <v>100</v>
      </c>
      <c r="B77" s="12" t="s">
        <v>40</v>
      </c>
      <c r="C77" s="10" t="s">
        <v>51</v>
      </c>
      <c r="D77" s="10" t="s">
        <v>93</v>
      </c>
      <c r="E77" s="18"/>
      <c r="F77" s="18"/>
      <c r="G77" s="18"/>
      <c r="H77" s="59">
        <f t="shared" ref="H77:X77" si="2">H69*20</f>
        <v>2.6</v>
      </c>
      <c r="I77" s="59">
        <f t="shared" si="2"/>
        <v>3.2</v>
      </c>
      <c r="J77" s="59">
        <f t="shared" si="2"/>
        <v>4.6000000000000005</v>
      </c>
      <c r="L77" s="59">
        <f t="shared" si="2"/>
        <v>7.1999999999999993</v>
      </c>
      <c r="M77" s="59">
        <f t="shared" si="2"/>
        <v>9.6</v>
      </c>
      <c r="N77" s="59">
        <f t="shared" si="2"/>
        <v>13.600000000000001</v>
      </c>
      <c r="O77" s="59">
        <f t="shared" si="2"/>
        <v>16</v>
      </c>
      <c r="P77" s="18"/>
      <c r="Q77" s="59">
        <f t="shared" si="2"/>
        <v>22.200000000000003</v>
      </c>
      <c r="R77" s="59">
        <f t="shared" si="2"/>
        <v>26.8</v>
      </c>
      <c r="S77" s="59">
        <f t="shared" si="2"/>
        <v>38</v>
      </c>
      <c r="T77" s="18"/>
      <c r="U77" s="59">
        <f t="shared" si="2"/>
        <v>58</v>
      </c>
      <c r="V77" s="18"/>
      <c r="W77" s="59">
        <f t="shared" si="2"/>
        <v>82</v>
      </c>
      <c r="X77" s="59">
        <f t="shared" si="2"/>
        <v>102</v>
      </c>
      <c r="Y77" s="1"/>
      <c r="Z77" s="1"/>
      <c r="AA77" s="1"/>
      <c r="AB77" s="1"/>
      <c r="AC77" s="22" t="s">
        <v>97</v>
      </c>
      <c r="AD77" s="22" t="s">
        <v>97</v>
      </c>
      <c r="AE77" s="22" t="s">
        <v>97</v>
      </c>
      <c r="AF77" s="22" t="s">
        <v>97</v>
      </c>
      <c r="AG77" s="22" t="s">
        <v>97</v>
      </c>
      <c r="AH77" s="22" t="s">
        <v>97</v>
      </c>
      <c r="AI77" s="22" t="s">
        <v>97</v>
      </c>
      <c r="AJ77" s="22" t="s">
        <v>97</v>
      </c>
      <c r="AK77" s="22" t="s">
        <v>97</v>
      </c>
      <c r="AL77" s="22" t="s">
        <v>97</v>
      </c>
      <c r="AM77" s="22" t="s">
        <v>97</v>
      </c>
      <c r="AN77" s="22" t="s">
        <v>97</v>
      </c>
      <c r="AO77" s="22" t="s">
        <v>97</v>
      </c>
      <c r="AP77" s="22" t="s">
        <v>97</v>
      </c>
      <c r="AQ77" s="22" t="s">
        <v>97</v>
      </c>
      <c r="AR77" s="22" t="s">
        <v>97</v>
      </c>
      <c r="AS77" s="19" t="s">
        <v>49</v>
      </c>
      <c r="AT77" s="1"/>
      <c r="AU77" s="1"/>
      <c r="AV77" s="1"/>
      <c r="AW77" s="1"/>
      <c r="AX77" s="1"/>
    </row>
    <row r="78" spans="1:50" outlineLevel="1">
      <c r="A78" s="15" t="s">
        <v>100</v>
      </c>
      <c r="B78" s="12" t="s">
        <v>40</v>
      </c>
      <c r="C78" s="10" t="s">
        <v>52</v>
      </c>
      <c r="D78" s="10" t="s">
        <v>94</v>
      </c>
      <c r="E78" s="18"/>
      <c r="F78" s="18"/>
      <c r="G78" s="18"/>
      <c r="H78" s="18"/>
      <c r="I78" s="18"/>
      <c r="J78" s="18"/>
      <c r="L78" s="18"/>
      <c r="M78" s="18"/>
      <c r="N78" s="18"/>
      <c r="O78" s="18"/>
      <c r="P78" s="18"/>
      <c r="Q78" s="18"/>
      <c r="R78" s="18"/>
      <c r="S78" s="18"/>
      <c r="T78" s="23" t="s">
        <v>97</v>
      </c>
      <c r="U78" s="18"/>
      <c r="V78" s="23" t="s">
        <v>97</v>
      </c>
      <c r="W78" s="18"/>
      <c r="X78" s="18"/>
      <c r="Y78" s="1"/>
      <c r="Z78" s="1"/>
      <c r="AA78" s="1"/>
      <c r="AB78" s="1"/>
      <c r="AC78" s="22" t="s">
        <v>97</v>
      </c>
      <c r="AD78" s="22" t="s">
        <v>97</v>
      </c>
      <c r="AE78" s="22" t="s">
        <v>97</v>
      </c>
      <c r="AF78" s="22" t="s">
        <v>97</v>
      </c>
      <c r="AG78" s="22" t="s">
        <v>97</v>
      </c>
      <c r="AH78" s="22" t="s">
        <v>97</v>
      </c>
      <c r="AI78" s="22" t="s">
        <v>97</v>
      </c>
      <c r="AJ78" s="22" t="s">
        <v>97</v>
      </c>
      <c r="AK78" s="22" t="s">
        <v>97</v>
      </c>
      <c r="AL78" s="22" t="s">
        <v>97</v>
      </c>
      <c r="AM78" s="22" t="s">
        <v>97</v>
      </c>
      <c r="AN78" s="22" t="s">
        <v>97</v>
      </c>
      <c r="AO78" s="22" t="s">
        <v>97</v>
      </c>
      <c r="AP78" s="22" t="s">
        <v>97</v>
      </c>
      <c r="AQ78" s="22" t="s">
        <v>97</v>
      </c>
      <c r="AR78" s="22" t="s">
        <v>97</v>
      </c>
      <c r="AS78" s="19" t="s">
        <v>49</v>
      </c>
      <c r="AT78" s="1"/>
      <c r="AU78" s="1"/>
      <c r="AV78" s="1"/>
      <c r="AW78" s="1"/>
      <c r="AX78" s="1"/>
    </row>
    <row r="79" spans="1:50" outlineLevel="1">
      <c r="A79" s="15" t="s">
        <v>100</v>
      </c>
      <c r="B79" s="12" t="s">
        <v>40</v>
      </c>
      <c r="C79" s="10" t="s">
        <v>90</v>
      </c>
      <c r="D79" s="10" t="s">
        <v>88</v>
      </c>
      <c r="E79" s="18"/>
      <c r="F79" s="18"/>
      <c r="G79" s="18"/>
      <c r="H79" s="18"/>
      <c r="I79" s="18"/>
      <c r="J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"/>
      <c r="Z79" s="1"/>
      <c r="AA79" s="1"/>
      <c r="AB79" s="1"/>
      <c r="AC79" s="22" t="s">
        <v>97</v>
      </c>
      <c r="AD79" s="22" t="s">
        <v>97</v>
      </c>
      <c r="AE79" s="22" t="s">
        <v>97</v>
      </c>
      <c r="AF79" s="22" t="s">
        <v>97</v>
      </c>
      <c r="AG79" s="22" t="s">
        <v>97</v>
      </c>
      <c r="AH79" s="22" t="s">
        <v>97</v>
      </c>
      <c r="AI79" s="22" t="s">
        <v>97</v>
      </c>
      <c r="AJ79" s="22" t="s">
        <v>97</v>
      </c>
      <c r="AK79" s="22" t="s">
        <v>97</v>
      </c>
      <c r="AL79" s="22" t="s">
        <v>97</v>
      </c>
      <c r="AM79" s="22" t="s">
        <v>97</v>
      </c>
      <c r="AN79" s="22" t="s">
        <v>97</v>
      </c>
      <c r="AO79" s="22" t="s">
        <v>97</v>
      </c>
      <c r="AP79" s="22" t="s">
        <v>97</v>
      </c>
      <c r="AQ79" s="22" t="s">
        <v>97</v>
      </c>
      <c r="AR79" s="22" t="s">
        <v>97</v>
      </c>
      <c r="AS79" s="19" t="s">
        <v>49</v>
      </c>
      <c r="AT79" s="1"/>
      <c r="AU79" s="1"/>
      <c r="AV79" s="1"/>
      <c r="AW79" s="1"/>
      <c r="AX79" s="1"/>
    </row>
    <row r="80" spans="1:50" outlineLevel="1">
      <c r="A80" s="15" t="s">
        <v>100</v>
      </c>
      <c r="B80" s="12" t="s">
        <v>40</v>
      </c>
      <c r="C80" s="10" t="s">
        <v>91</v>
      </c>
      <c r="D80" s="10" t="s">
        <v>89</v>
      </c>
      <c r="E80" s="18"/>
      <c r="F80" s="18"/>
      <c r="G80" s="18"/>
      <c r="H80" s="18"/>
      <c r="I80" s="18"/>
      <c r="J80" s="18"/>
      <c r="L80" s="18"/>
      <c r="M80" s="18"/>
      <c r="N80" s="18"/>
      <c r="O80" s="18"/>
      <c r="P80" s="18"/>
      <c r="Q80" s="18"/>
      <c r="R80" s="18"/>
      <c r="S80" s="18"/>
      <c r="T80" s="23" t="s">
        <v>97</v>
      </c>
      <c r="U80" s="18"/>
      <c r="V80" s="23" t="s">
        <v>97</v>
      </c>
      <c r="W80" s="18"/>
      <c r="X80" s="18"/>
      <c r="Y80" s="1"/>
      <c r="Z80" s="1"/>
      <c r="AA80" s="1"/>
      <c r="AB80" s="1"/>
      <c r="AC80" s="22" t="s">
        <v>97</v>
      </c>
      <c r="AD80" s="22" t="s">
        <v>97</v>
      </c>
      <c r="AE80" s="22" t="s">
        <v>97</v>
      </c>
      <c r="AF80" s="22" t="s">
        <v>97</v>
      </c>
      <c r="AG80" s="22" t="s">
        <v>97</v>
      </c>
      <c r="AH80" s="22" t="s">
        <v>97</v>
      </c>
      <c r="AI80" s="22" t="s">
        <v>97</v>
      </c>
      <c r="AJ80" s="22" t="s">
        <v>97</v>
      </c>
      <c r="AK80" s="22" t="s">
        <v>97</v>
      </c>
      <c r="AL80" s="22" t="s">
        <v>97</v>
      </c>
      <c r="AM80" s="22" t="s">
        <v>97</v>
      </c>
      <c r="AN80" s="22" t="s">
        <v>97</v>
      </c>
      <c r="AO80" s="22" t="s">
        <v>97</v>
      </c>
      <c r="AP80" s="22" t="s">
        <v>97</v>
      </c>
      <c r="AQ80" s="22" t="s">
        <v>97</v>
      </c>
      <c r="AR80" s="22" t="s">
        <v>97</v>
      </c>
      <c r="AS80" s="19" t="s">
        <v>49</v>
      </c>
      <c r="AT80" s="1"/>
      <c r="AU80" s="1"/>
      <c r="AV80" s="1"/>
      <c r="AW80" s="1"/>
      <c r="AX80" s="1"/>
    </row>
    <row r="81" spans="1:50" outlineLevel="1">
      <c r="A81" s="15" t="s">
        <v>100</v>
      </c>
      <c r="B81" s="12" t="s">
        <v>40</v>
      </c>
      <c r="C81" s="10" t="s">
        <v>95</v>
      </c>
      <c r="D81" s="10" t="s">
        <v>96</v>
      </c>
      <c r="E81" s="18"/>
      <c r="F81" s="18"/>
      <c r="G81" s="18"/>
      <c r="H81" s="18"/>
      <c r="I81" s="18"/>
      <c r="J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"/>
      <c r="Z81" s="1"/>
      <c r="AA81" s="1"/>
      <c r="AB81" s="1"/>
      <c r="AC81" s="22" t="s">
        <v>97</v>
      </c>
      <c r="AD81" s="22" t="s">
        <v>97</v>
      </c>
      <c r="AE81" s="22" t="s">
        <v>97</v>
      </c>
      <c r="AF81" s="22" t="s">
        <v>97</v>
      </c>
      <c r="AG81" s="22" t="s">
        <v>97</v>
      </c>
      <c r="AH81" s="22" t="s">
        <v>97</v>
      </c>
      <c r="AI81" s="22" t="s">
        <v>97</v>
      </c>
      <c r="AJ81" s="22" t="s">
        <v>97</v>
      </c>
      <c r="AK81" s="22" t="s">
        <v>97</v>
      </c>
      <c r="AL81" s="22" t="s">
        <v>97</v>
      </c>
      <c r="AM81" s="22" t="s">
        <v>97</v>
      </c>
      <c r="AN81" s="22" t="s">
        <v>97</v>
      </c>
      <c r="AO81" s="22" t="s">
        <v>97</v>
      </c>
      <c r="AP81" s="22" t="s">
        <v>97</v>
      </c>
      <c r="AQ81" s="22" t="s">
        <v>97</v>
      </c>
      <c r="AR81" s="22" t="s">
        <v>97</v>
      </c>
      <c r="AS81" s="19" t="s">
        <v>49</v>
      </c>
      <c r="AT81" s="1"/>
      <c r="AU81" s="1"/>
      <c r="AV81" s="1"/>
      <c r="AW81" s="1"/>
      <c r="AX81" s="1"/>
    </row>
    <row r="82" spans="1:50" outlineLevel="1">
      <c r="A82" s="15" t="s">
        <v>100</v>
      </c>
      <c r="B82" s="12" t="s">
        <v>40</v>
      </c>
      <c r="C82" s="10" t="s">
        <v>127</v>
      </c>
      <c r="D82" s="10" t="s">
        <v>134</v>
      </c>
      <c r="E82" s="18"/>
      <c r="F82" s="18"/>
      <c r="G82" s="18"/>
      <c r="H82" s="18"/>
      <c r="I82" s="18"/>
      <c r="J82" s="18"/>
      <c r="L82" s="18"/>
      <c r="M82" s="18"/>
      <c r="N82" s="18"/>
      <c r="O82" s="18"/>
      <c r="P82" s="18"/>
      <c r="Q82" s="18"/>
      <c r="R82" s="18"/>
      <c r="S82" s="18"/>
      <c r="T82" s="23" t="s">
        <v>97</v>
      </c>
      <c r="U82" s="18"/>
      <c r="V82" s="23" t="s">
        <v>97</v>
      </c>
      <c r="W82" s="18"/>
      <c r="X82" s="18"/>
      <c r="Y82" s="1"/>
      <c r="Z82" s="1"/>
      <c r="AA82" s="1"/>
      <c r="AB82" s="1"/>
      <c r="AC82" s="22" t="s">
        <v>97</v>
      </c>
      <c r="AD82" s="22" t="s">
        <v>97</v>
      </c>
      <c r="AE82" s="22" t="s">
        <v>97</v>
      </c>
      <c r="AF82" s="22" t="s">
        <v>97</v>
      </c>
      <c r="AG82" s="22" t="s">
        <v>97</v>
      </c>
      <c r="AH82" s="22" t="s">
        <v>97</v>
      </c>
      <c r="AI82" s="22" t="s">
        <v>97</v>
      </c>
      <c r="AJ82" s="22" t="s">
        <v>97</v>
      </c>
      <c r="AK82" s="22" t="s">
        <v>97</v>
      </c>
      <c r="AL82" s="22" t="s">
        <v>97</v>
      </c>
      <c r="AM82" s="22" t="s">
        <v>97</v>
      </c>
      <c r="AN82" s="22" t="s">
        <v>97</v>
      </c>
      <c r="AO82" s="22" t="s">
        <v>97</v>
      </c>
      <c r="AP82" s="22" t="s">
        <v>97</v>
      </c>
      <c r="AQ82" s="22" t="s">
        <v>97</v>
      </c>
      <c r="AR82" s="22" t="s">
        <v>97</v>
      </c>
      <c r="AS82" s="19" t="s">
        <v>48</v>
      </c>
      <c r="AT82" s="1"/>
      <c r="AU82" s="1"/>
      <c r="AV82" s="1"/>
      <c r="AW82" s="1"/>
      <c r="AX82" s="1"/>
    </row>
    <row r="83" spans="1:50" outlineLevel="1">
      <c r="A83" s="15" t="s">
        <v>100</v>
      </c>
      <c r="B83" s="12" t="s">
        <v>40</v>
      </c>
      <c r="C83" s="24" t="s">
        <v>135</v>
      </c>
      <c r="D83" s="10" t="s">
        <v>92</v>
      </c>
      <c r="E83" s="18"/>
      <c r="F83" s="18"/>
      <c r="G83" s="18"/>
      <c r="H83" s="18"/>
      <c r="I83" s="18"/>
      <c r="J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9" t="s">
        <v>49</v>
      </c>
      <c r="AT83" s="1"/>
      <c r="AU83" s="1"/>
      <c r="AV83" s="1"/>
      <c r="AW83" s="1"/>
      <c r="AX83" s="1"/>
    </row>
    <row r="84" spans="1:50" outlineLevel="1">
      <c r="A84" s="20" t="s">
        <v>251</v>
      </c>
      <c r="B84" s="20" t="s">
        <v>251</v>
      </c>
      <c r="C84" s="20" t="s">
        <v>246</v>
      </c>
      <c r="D84" s="20" t="s">
        <v>48</v>
      </c>
      <c r="E84" s="19" t="s">
        <v>48</v>
      </c>
      <c r="F84" s="19" t="s">
        <v>48</v>
      </c>
      <c r="G84" s="19" t="s">
        <v>48</v>
      </c>
      <c r="H84" s="19" t="s">
        <v>48</v>
      </c>
      <c r="I84" s="19" t="s">
        <v>48</v>
      </c>
      <c r="J84" s="19" t="s">
        <v>48</v>
      </c>
      <c r="K84" s="21" t="s">
        <v>48</v>
      </c>
      <c r="L84" s="19" t="s">
        <v>48</v>
      </c>
      <c r="M84" s="19" t="s">
        <v>48</v>
      </c>
      <c r="N84" s="19" t="s">
        <v>48</v>
      </c>
      <c r="O84" s="19" t="s">
        <v>48</v>
      </c>
      <c r="P84" s="19" t="s">
        <v>48</v>
      </c>
      <c r="Q84" s="19" t="s">
        <v>48</v>
      </c>
      <c r="R84" s="19" t="s">
        <v>48</v>
      </c>
      <c r="S84" s="19" t="s">
        <v>48</v>
      </c>
      <c r="T84" s="19" t="s">
        <v>48</v>
      </c>
      <c r="U84" s="19" t="s">
        <v>48</v>
      </c>
      <c r="V84" s="19"/>
      <c r="W84" s="19" t="s">
        <v>48</v>
      </c>
      <c r="X84" s="19" t="s">
        <v>48</v>
      </c>
      <c r="Y84" s="19" t="s">
        <v>48</v>
      </c>
      <c r="Z84" s="19" t="s">
        <v>48</v>
      </c>
      <c r="AA84" s="19" t="s">
        <v>48</v>
      </c>
      <c r="AB84" s="19" t="s">
        <v>48</v>
      </c>
      <c r="AC84" s="19" t="s">
        <v>48</v>
      </c>
      <c r="AD84" s="19" t="s">
        <v>48</v>
      </c>
      <c r="AE84" s="19" t="s">
        <v>48</v>
      </c>
      <c r="AF84" s="19" t="s">
        <v>48</v>
      </c>
      <c r="AG84" s="19" t="s">
        <v>48</v>
      </c>
      <c r="AH84" s="19" t="s">
        <v>48</v>
      </c>
      <c r="AI84" s="19" t="s">
        <v>48</v>
      </c>
      <c r="AJ84" s="19" t="s">
        <v>48</v>
      </c>
      <c r="AK84" s="19" t="s">
        <v>48</v>
      </c>
      <c r="AL84" s="19" t="s">
        <v>48</v>
      </c>
      <c r="AM84" s="19" t="s">
        <v>48</v>
      </c>
      <c r="AN84" s="19" t="s">
        <v>48</v>
      </c>
      <c r="AO84" s="19" t="s">
        <v>48</v>
      </c>
      <c r="AP84" s="19" t="s">
        <v>48</v>
      </c>
      <c r="AQ84" s="19" t="s">
        <v>48</v>
      </c>
      <c r="AR84" s="19" t="s">
        <v>48</v>
      </c>
      <c r="AS84" s="19" t="s">
        <v>49</v>
      </c>
      <c r="AT84" s="1"/>
      <c r="AU84" s="1"/>
      <c r="AV84" s="1"/>
      <c r="AW84" s="1"/>
      <c r="AX84" s="1"/>
    </row>
    <row r="85" spans="1:50" outlineLevel="1">
      <c r="A85" s="10" t="s">
        <v>101</v>
      </c>
      <c r="B85" s="10" t="s">
        <v>42</v>
      </c>
      <c r="C85" s="10" t="s">
        <v>1</v>
      </c>
      <c r="D85" s="10" t="s">
        <v>85</v>
      </c>
      <c r="E85" s="1"/>
      <c r="F85" s="1"/>
      <c r="G85" s="1"/>
      <c r="H85" s="1">
        <v>0.161</v>
      </c>
      <c r="I85" s="1">
        <v>0.161</v>
      </c>
      <c r="J85" s="1">
        <v>0.161</v>
      </c>
      <c r="L85" s="1">
        <v>0.16800000000000001</v>
      </c>
      <c r="M85" s="1">
        <v>0.255</v>
      </c>
      <c r="N85" s="1">
        <v>0.39500000000000002</v>
      </c>
      <c r="O85" s="1">
        <v>0.503</v>
      </c>
      <c r="P85" s="1"/>
      <c r="Q85" s="1">
        <v>0.82399999999999995</v>
      </c>
      <c r="R85" s="1">
        <v>1.3</v>
      </c>
      <c r="S85" s="1">
        <v>1.9</v>
      </c>
      <c r="T85" s="1"/>
      <c r="U85" s="1">
        <v>3.8</v>
      </c>
      <c r="V85" s="1"/>
      <c r="W85" s="1">
        <v>6.9</v>
      </c>
      <c r="X85" s="1">
        <v>10.199999999999999</v>
      </c>
      <c r="Y85" s="1"/>
      <c r="Z85" s="1"/>
      <c r="AA85" s="1"/>
      <c r="AB85" s="5"/>
      <c r="AC85" s="22" t="s">
        <v>97</v>
      </c>
      <c r="AD85" s="22" t="s">
        <v>97</v>
      </c>
      <c r="AE85" s="22" t="s">
        <v>97</v>
      </c>
      <c r="AF85" s="22" t="s">
        <v>97</v>
      </c>
      <c r="AG85" s="22" t="s">
        <v>97</v>
      </c>
      <c r="AH85" s="22" t="s">
        <v>97</v>
      </c>
      <c r="AI85" s="22" t="s">
        <v>97</v>
      </c>
      <c r="AJ85" s="22" t="s">
        <v>97</v>
      </c>
      <c r="AK85" s="22" t="s">
        <v>97</v>
      </c>
      <c r="AL85" s="22" t="s">
        <v>97</v>
      </c>
      <c r="AM85" s="22" t="s">
        <v>97</v>
      </c>
      <c r="AN85" s="22" t="s">
        <v>97</v>
      </c>
      <c r="AO85" s="22" t="s">
        <v>97</v>
      </c>
      <c r="AP85" s="22" t="s">
        <v>97</v>
      </c>
      <c r="AQ85" s="22" t="s">
        <v>97</v>
      </c>
      <c r="AR85" s="22" t="s">
        <v>97</v>
      </c>
      <c r="AS85" s="19" t="s">
        <v>49</v>
      </c>
      <c r="AT85" s="1"/>
      <c r="AU85" s="1"/>
      <c r="AV85" s="1"/>
      <c r="AW85" s="1"/>
      <c r="AX85" s="1"/>
    </row>
    <row r="86" spans="1:50" outlineLevel="1">
      <c r="A86" s="10" t="s">
        <v>101</v>
      </c>
      <c r="B86" s="10" t="s">
        <v>42</v>
      </c>
      <c r="C86" s="10" t="s">
        <v>50</v>
      </c>
      <c r="D86" s="10" t="s">
        <v>86</v>
      </c>
      <c r="E86" s="1"/>
      <c r="F86" s="1"/>
      <c r="G86" s="1"/>
      <c r="H86" s="1">
        <v>0.18099999999999999</v>
      </c>
      <c r="I86" s="1">
        <v>0.18099999999999999</v>
      </c>
      <c r="J86" s="1">
        <v>0.18099999999999999</v>
      </c>
      <c r="L86" s="1">
        <v>0.214</v>
      </c>
      <c r="M86" s="1">
        <v>0.33500000000000002</v>
      </c>
      <c r="N86" s="1">
        <v>0.53600000000000003</v>
      </c>
      <c r="O86" s="1">
        <v>0.69699999999999995</v>
      </c>
      <c r="P86" s="1"/>
      <c r="Q86" s="1">
        <v>1.18</v>
      </c>
      <c r="R86" s="1">
        <v>1.8</v>
      </c>
      <c r="S86" s="1">
        <v>2.8</v>
      </c>
      <c r="T86" s="1"/>
      <c r="U86" s="1">
        <v>5.6</v>
      </c>
      <c r="V86" s="1"/>
      <c r="W86" s="1">
        <v>10</v>
      </c>
      <c r="X86" s="1">
        <v>14.9</v>
      </c>
      <c r="Y86" s="1"/>
      <c r="Z86" s="1"/>
      <c r="AA86" s="1"/>
      <c r="AB86" s="1"/>
      <c r="AC86" s="22" t="s">
        <v>97</v>
      </c>
      <c r="AD86" s="22" t="s">
        <v>97</v>
      </c>
      <c r="AE86" s="22" t="s">
        <v>97</v>
      </c>
      <c r="AF86" s="22" t="s">
        <v>97</v>
      </c>
      <c r="AG86" s="22" t="s">
        <v>97</v>
      </c>
      <c r="AH86" s="22" t="s">
        <v>97</v>
      </c>
      <c r="AI86" s="22" t="s">
        <v>97</v>
      </c>
      <c r="AJ86" s="22" t="s">
        <v>97</v>
      </c>
      <c r="AK86" s="22" t="s">
        <v>97</v>
      </c>
      <c r="AL86" s="22" t="s">
        <v>97</v>
      </c>
      <c r="AM86" s="22" t="s">
        <v>97</v>
      </c>
      <c r="AN86" s="22" t="s">
        <v>97</v>
      </c>
      <c r="AO86" s="22" t="s">
        <v>97</v>
      </c>
      <c r="AP86" s="22" t="s">
        <v>97</v>
      </c>
      <c r="AQ86" s="22" t="s">
        <v>97</v>
      </c>
      <c r="AR86" s="22" t="s">
        <v>97</v>
      </c>
      <c r="AS86" s="19" t="s">
        <v>49</v>
      </c>
      <c r="AT86" s="1"/>
      <c r="AU86" s="1"/>
      <c r="AV86" s="1"/>
      <c r="AW86" s="1"/>
      <c r="AX86" s="1"/>
    </row>
    <row r="87" spans="1:50" outlineLevel="1">
      <c r="A87" s="10" t="s">
        <v>101</v>
      </c>
      <c r="B87" s="10" t="s">
        <v>42</v>
      </c>
      <c r="C87" s="14" t="s">
        <v>14</v>
      </c>
      <c r="D87" s="10" t="s">
        <v>61</v>
      </c>
      <c r="E87" s="1"/>
      <c r="F87" s="1"/>
      <c r="G87" s="1"/>
      <c r="H87" s="1">
        <v>0.42799999999999999</v>
      </c>
      <c r="I87" s="1">
        <v>0.42799999999999999</v>
      </c>
      <c r="J87" s="1">
        <v>0.433</v>
      </c>
      <c r="L87" s="1">
        <v>0.45600000000000002</v>
      </c>
      <c r="M87" s="1">
        <v>0.82099999999999995</v>
      </c>
      <c r="N87" s="1">
        <v>0.1163</v>
      </c>
      <c r="O87" s="1">
        <v>0.16800000000000001</v>
      </c>
      <c r="P87" s="1"/>
      <c r="Q87" s="1">
        <v>2.8220000000000001</v>
      </c>
      <c r="R87" s="1">
        <v>4.8</v>
      </c>
      <c r="S87" s="1">
        <v>7</v>
      </c>
      <c r="T87" s="22" t="s">
        <v>97</v>
      </c>
      <c r="U87" s="1">
        <v>14.2</v>
      </c>
      <c r="V87" s="22" t="s">
        <v>97</v>
      </c>
      <c r="W87" s="1">
        <v>26.6</v>
      </c>
      <c r="X87" s="1">
        <v>43.9</v>
      </c>
      <c r="Y87" s="1"/>
      <c r="Z87" s="1"/>
      <c r="AA87" s="1"/>
      <c r="AB87" s="1"/>
      <c r="AC87" s="22" t="s">
        <v>97</v>
      </c>
      <c r="AD87" s="22" t="s">
        <v>97</v>
      </c>
      <c r="AE87" s="22" t="s">
        <v>97</v>
      </c>
      <c r="AF87" s="22" t="s">
        <v>97</v>
      </c>
      <c r="AG87" s="22" t="s">
        <v>97</v>
      </c>
      <c r="AH87" s="22" t="s">
        <v>97</v>
      </c>
      <c r="AI87" s="22" t="s">
        <v>97</v>
      </c>
      <c r="AJ87" s="22" t="s">
        <v>97</v>
      </c>
      <c r="AK87" s="22" t="s">
        <v>97</v>
      </c>
      <c r="AL87" s="22" t="s">
        <v>97</v>
      </c>
      <c r="AM87" s="22" t="s">
        <v>97</v>
      </c>
      <c r="AN87" s="22" t="s">
        <v>97</v>
      </c>
      <c r="AO87" s="22" t="s">
        <v>97</v>
      </c>
      <c r="AP87" s="22" t="s">
        <v>97</v>
      </c>
      <c r="AQ87" s="22" t="s">
        <v>97</v>
      </c>
      <c r="AR87" s="22" t="s">
        <v>97</v>
      </c>
      <c r="AS87" s="19" t="s">
        <v>49</v>
      </c>
      <c r="AT87" s="1"/>
      <c r="AU87" s="1"/>
      <c r="AV87" s="1"/>
      <c r="AW87" s="1"/>
      <c r="AX87" s="1"/>
    </row>
    <row r="88" spans="1:50" outlineLevel="1">
      <c r="A88" s="10" t="s">
        <v>101</v>
      </c>
      <c r="B88" s="10" t="s">
        <v>42</v>
      </c>
      <c r="C88" s="14" t="s">
        <v>19</v>
      </c>
      <c r="D88" s="10" t="s">
        <v>64</v>
      </c>
      <c r="E88" s="1"/>
      <c r="F88" s="1"/>
      <c r="G88" s="1"/>
      <c r="H88" s="1">
        <v>0.26200000000000001</v>
      </c>
      <c r="I88" s="1">
        <v>0.26200000000000001</v>
      </c>
      <c r="J88" s="1">
        <v>0.28499999999999998</v>
      </c>
      <c r="L88" s="1">
        <v>0.29099999999999998</v>
      </c>
      <c r="M88" s="1">
        <v>0.433</v>
      </c>
      <c r="N88" s="1">
        <v>0.74099999999999999</v>
      </c>
      <c r="O88" s="1">
        <v>1.026</v>
      </c>
      <c r="P88" s="1"/>
      <c r="Q88" s="1">
        <v>1.7490000000000001</v>
      </c>
      <c r="R88" s="1">
        <v>2.9</v>
      </c>
      <c r="S88" s="1">
        <v>4.0999999999999996</v>
      </c>
      <c r="T88" s="22" t="s">
        <v>97</v>
      </c>
      <c r="U88" s="1">
        <v>8</v>
      </c>
      <c r="V88" s="22" t="s">
        <v>97</v>
      </c>
      <c r="W88" s="1">
        <v>14.9</v>
      </c>
      <c r="X88" s="1">
        <v>23.6</v>
      </c>
      <c r="Y88" s="1"/>
      <c r="Z88" s="1"/>
      <c r="AA88" s="1"/>
      <c r="AB88" s="1"/>
      <c r="AC88" s="22" t="s">
        <v>97</v>
      </c>
      <c r="AD88" s="22" t="s">
        <v>97</v>
      </c>
      <c r="AE88" s="22" t="s">
        <v>97</v>
      </c>
      <c r="AF88" s="22" t="s">
        <v>97</v>
      </c>
      <c r="AG88" s="22" t="s">
        <v>97</v>
      </c>
      <c r="AH88" s="22" t="s">
        <v>97</v>
      </c>
      <c r="AI88" s="22" t="s">
        <v>97</v>
      </c>
      <c r="AJ88" s="22" t="s">
        <v>97</v>
      </c>
      <c r="AK88" s="22" t="s">
        <v>97</v>
      </c>
      <c r="AL88" s="22" t="s">
        <v>97</v>
      </c>
      <c r="AM88" s="22" t="s">
        <v>97</v>
      </c>
      <c r="AN88" s="22" t="s">
        <v>97</v>
      </c>
      <c r="AO88" s="22" t="s">
        <v>97</v>
      </c>
      <c r="AP88" s="22" t="s">
        <v>97</v>
      </c>
      <c r="AQ88" s="22" t="s">
        <v>97</v>
      </c>
      <c r="AR88" s="22" t="s">
        <v>97</v>
      </c>
      <c r="AS88" s="19" t="s">
        <v>49</v>
      </c>
      <c r="AT88" s="1"/>
      <c r="AU88" s="1"/>
      <c r="AV88" s="1"/>
      <c r="AW88" s="1"/>
      <c r="AX88" s="1"/>
    </row>
    <row r="89" spans="1:50" outlineLevel="1">
      <c r="A89" s="10" t="s">
        <v>101</v>
      </c>
      <c r="B89" s="10" t="s">
        <v>42</v>
      </c>
      <c r="C89" s="14" t="s">
        <v>23</v>
      </c>
      <c r="D89" s="10" t="s">
        <v>69</v>
      </c>
      <c r="E89" s="1"/>
      <c r="F89" s="1"/>
      <c r="G89" s="1"/>
      <c r="H89" s="1">
        <v>0.7</v>
      </c>
      <c r="I89" s="1">
        <v>0.96</v>
      </c>
      <c r="J89" s="1">
        <v>0.36</v>
      </c>
      <c r="L89" s="1">
        <v>0.57599999999999996</v>
      </c>
      <c r="M89" s="1">
        <v>0.86399999999999999</v>
      </c>
      <c r="N89" s="1">
        <v>1.6</v>
      </c>
      <c r="O89" s="1">
        <v>1.92</v>
      </c>
      <c r="P89" s="1"/>
      <c r="Q89" s="1">
        <v>3.024</v>
      </c>
      <c r="R89" s="1">
        <v>6.5</v>
      </c>
      <c r="S89" s="1">
        <v>7.5</v>
      </c>
      <c r="T89" s="1"/>
      <c r="U89" s="1">
        <v>16.600000000000001</v>
      </c>
      <c r="V89" s="1"/>
      <c r="W89" s="1">
        <v>24.5</v>
      </c>
      <c r="X89" s="1">
        <v>46.1</v>
      </c>
      <c r="Y89" s="22" t="s">
        <v>97</v>
      </c>
      <c r="Z89" s="22" t="s">
        <v>97</v>
      </c>
      <c r="AA89" s="22" t="s">
        <v>97</v>
      </c>
      <c r="AB89" s="22" t="s">
        <v>97</v>
      </c>
      <c r="AC89" s="22" t="s">
        <v>97</v>
      </c>
      <c r="AD89" s="22" t="s">
        <v>97</v>
      </c>
      <c r="AE89" s="22" t="s">
        <v>97</v>
      </c>
      <c r="AF89" s="22" t="s">
        <v>97</v>
      </c>
      <c r="AG89" s="22" t="s">
        <v>97</v>
      </c>
      <c r="AH89" s="22" t="s">
        <v>97</v>
      </c>
      <c r="AI89" s="22" t="s">
        <v>97</v>
      </c>
      <c r="AJ89" s="22" t="s">
        <v>97</v>
      </c>
      <c r="AK89" s="22" t="s">
        <v>97</v>
      </c>
      <c r="AL89" s="22" t="s">
        <v>97</v>
      </c>
      <c r="AM89" s="22" t="s">
        <v>97</v>
      </c>
      <c r="AN89" s="22" t="s">
        <v>97</v>
      </c>
      <c r="AO89" s="22" t="s">
        <v>97</v>
      </c>
      <c r="AP89" s="22" t="s">
        <v>97</v>
      </c>
      <c r="AQ89" s="22" t="s">
        <v>97</v>
      </c>
      <c r="AR89" s="22" t="s">
        <v>97</v>
      </c>
      <c r="AS89" s="19" t="s">
        <v>49</v>
      </c>
      <c r="AT89" s="1"/>
      <c r="AU89" s="1"/>
      <c r="AV89" s="1"/>
      <c r="AW89" s="1"/>
      <c r="AX89" s="1"/>
    </row>
    <row r="90" spans="1:50" outlineLevel="1">
      <c r="A90" s="10" t="s">
        <v>101</v>
      </c>
      <c r="B90" s="10" t="s">
        <v>42</v>
      </c>
      <c r="C90" s="14" t="s">
        <v>28</v>
      </c>
      <c r="D90" s="10" t="s">
        <v>72</v>
      </c>
      <c r="E90" s="1"/>
      <c r="F90" s="1"/>
      <c r="G90" s="1"/>
      <c r="H90" s="1">
        <v>0.7</v>
      </c>
      <c r="I90" s="1">
        <v>0.96</v>
      </c>
      <c r="J90" s="1">
        <v>0.47</v>
      </c>
      <c r="L90" s="1">
        <v>0.84</v>
      </c>
      <c r="M90" s="1">
        <v>1.1399999999999999</v>
      </c>
      <c r="N90" s="1">
        <v>3.0449999999999999</v>
      </c>
      <c r="O90" s="1">
        <v>3.8</v>
      </c>
      <c r="P90" s="1"/>
      <c r="Q90" s="1">
        <v>6.14</v>
      </c>
      <c r="R90" s="1">
        <v>13.7</v>
      </c>
      <c r="S90" s="1">
        <v>16.600000000000001</v>
      </c>
      <c r="T90" s="1"/>
      <c r="U90" s="1">
        <v>33.1</v>
      </c>
      <c r="V90" s="1"/>
      <c r="W90" s="1">
        <v>67</v>
      </c>
      <c r="X90" s="1">
        <v>104</v>
      </c>
      <c r="Y90" s="1"/>
      <c r="Z90" s="1"/>
      <c r="AA90" s="1"/>
      <c r="AB90" s="1"/>
      <c r="AC90" s="1"/>
      <c r="AD90" s="1"/>
      <c r="AE90" s="1"/>
      <c r="AF90" s="22" t="s">
        <v>97</v>
      </c>
      <c r="AG90" s="22" t="s">
        <v>97</v>
      </c>
      <c r="AH90" s="22" t="s">
        <v>97</v>
      </c>
      <c r="AI90" s="22" t="s">
        <v>97</v>
      </c>
      <c r="AJ90" s="22" t="s">
        <v>97</v>
      </c>
      <c r="AK90" s="22" t="s">
        <v>97</v>
      </c>
      <c r="AL90" s="22" t="s">
        <v>97</v>
      </c>
      <c r="AM90" s="22" t="s">
        <v>97</v>
      </c>
      <c r="AN90" s="22" t="s">
        <v>97</v>
      </c>
      <c r="AO90" s="22" t="s">
        <v>97</v>
      </c>
      <c r="AP90" s="22" t="s">
        <v>97</v>
      </c>
      <c r="AQ90" s="22" t="s">
        <v>97</v>
      </c>
      <c r="AR90" s="22" t="s">
        <v>97</v>
      </c>
      <c r="AS90" s="19" t="s">
        <v>49</v>
      </c>
      <c r="AT90" s="1"/>
      <c r="AU90" s="1"/>
      <c r="AV90" s="1"/>
      <c r="AW90" s="1"/>
      <c r="AX90" s="1"/>
    </row>
    <row r="91" spans="1:50" outlineLevel="1">
      <c r="A91" s="10" t="s">
        <v>101</v>
      </c>
      <c r="B91" s="10" t="s">
        <v>42</v>
      </c>
      <c r="C91" s="14" t="s">
        <v>30</v>
      </c>
      <c r="D91" s="10" t="s">
        <v>78</v>
      </c>
      <c r="E91" s="1"/>
      <c r="F91" s="1"/>
      <c r="G91" s="1"/>
      <c r="H91" s="1">
        <v>0.875</v>
      </c>
      <c r="I91" s="1">
        <v>1.2</v>
      </c>
      <c r="J91" s="1">
        <v>0.57599999999999996</v>
      </c>
      <c r="L91" s="1">
        <v>0.93600000000000005</v>
      </c>
      <c r="M91" s="1">
        <v>1.3680000000000001</v>
      </c>
      <c r="N91" s="1">
        <v>2.6640000000000001</v>
      </c>
      <c r="O91" s="1">
        <v>3.24</v>
      </c>
      <c r="P91" s="1"/>
      <c r="Q91" s="1">
        <v>4.968</v>
      </c>
      <c r="R91" s="1">
        <v>10.8</v>
      </c>
      <c r="S91" s="1">
        <v>13</v>
      </c>
      <c r="T91" s="1"/>
      <c r="U91" s="1">
        <v>25.9</v>
      </c>
      <c r="V91" s="1"/>
      <c r="W91" s="1">
        <v>46.1</v>
      </c>
      <c r="X91" s="1">
        <v>73.400000000000006</v>
      </c>
      <c r="Y91" s="22" t="s">
        <v>97</v>
      </c>
      <c r="Z91" s="22" t="s">
        <v>97</v>
      </c>
      <c r="AA91" s="22" t="s">
        <v>97</v>
      </c>
      <c r="AB91" s="22" t="s">
        <v>97</v>
      </c>
      <c r="AC91" s="22" t="s">
        <v>97</v>
      </c>
      <c r="AD91" s="22" t="s">
        <v>97</v>
      </c>
      <c r="AE91" s="22" t="s">
        <v>97</v>
      </c>
      <c r="AF91" s="22" t="s">
        <v>97</v>
      </c>
      <c r="AG91" s="22" t="s">
        <v>97</v>
      </c>
      <c r="AH91" s="22" t="s">
        <v>97</v>
      </c>
      <c r="AI91" s="22" t="s">
        <v>97</v>
      </c>
      <c r="AJ91" s="22" t="s">
        <v>97</v>
      </c>
      <c r="AK91" s="22" t="s">
        <v>97</v>
      </c>
      <c r="AL91" s="22" t="s">
        <v>97</v>
      </c>
      <c r="AM91" s="22" t="s">
        <v>97</v>
      </c>
      <c r="AN91" s="22" t="s">
        <v>97</v>
      </c>
      <c r="AO91" s="22" t="s">
        <v>97</v>
      </c>
      <c r="AP91" s="22" t="s">
        <v>97</v>
      </c>
      <c r="AQ91" s="22" t="s">
        <v>97</v>
      </c>
      <c r="AR91" s="22" t="s">
        <v>97</v>
      </c>
      <c r="AS91" s="19" t="s">
        <v>49</v>
      </c>
      <c r="AT91" s="1"/>
      <c r="AU91" s="1"/>
      <c r="AV91" s="1"/>
      <c r="AW91" s="1"/>
      <c r="AX91" s="1"/>
    </row>
    <row r="92" spans="1:50" outlineLevel="1">
      <c r="A92" s="10" t="s">
        <v>101</v>
      </c>
      <c r="B92" s="10" t="s">
        <v>42</v>
      </c>
      <c r="C92" s="14" t="s">
        <v>33</v>
      </c>
      <c r="D92" s="10" t="s">
        <v>79</v>
      </c>
      <c r="E92" s="1"/>
      <c r="F92" s="1"/>
      <c r="G92" s="1"/>
      <c r="H92" s="1">
        <v>0.875</v>
      </c>
      <c r="I92" s="1">
        <v>1.2</v>
      </c>
      <c r="J92" s="1">
        <v>0.72</v>
      </c>
      <c r="L92" s="1">
        <v>1.296</v>
      </c>
      <c r="M92" s="1">
        <v>1.8</v>
      </c>
      <c r="N92" s="1">
        <v>4.6079999999999997</v>
      </c>
      <c r="O92" s="1">
        <v>6.4080000000000004</v>
      </c>
      <c r="P92" s="1"/>
      <c r="Q92" s="1">
        <v>10.08</v>
      </c>
      <c r="R92" s="1">
        <v>20.9</v>
      </c>
      <c r="S92" s="1">
        <v>25.2</v>
      </c>
      <c r="T92" s="1"/>
      <c r="U92" s="1">
        <v>25.6</v>
      </c>
      <c r="V92" s="1"/>
      <c r="W92" s="1">
        <v>93.6</v>
      </c>
      <c r="X92" s="1">
        <v>148</v>
      </c>
      <c r="Y92" s="1"/>
      <c r="Z92" s="1"/>
      <c r="AA92" s="1"/>
      <c r="AB92" s="1"/>
      <c r="AC92" s="1"/>
      <c r="AD92" s="1"/>
      <c r="AE92" s="1"/>
      <c r="AF92" s="22" t="s">
        <v>97</v>
      </c>
      <c r="AG92" s="22" t="s">
        <v>97</v>
      </c>
      <c r="AH92" s="22" t="s">
        <v>97</v>
      </c>
      <c r="AI92" s="22" t="s">
        <v>97</v>
      </c>
      <c r="AJ92" s="22" t="s">
        <v>97</v>
      </c>
      <c r="AK92" s="22" t="s">
        <v>97</v>
      </c>
      <c r="AL92" s="22" t="s">
        <v>97</v>
      </c>
      <c r="AM92" s="22" t="s">
        <v>97</v>
      </c>
      <c r="AN92" s="22" t="s">
        <v>97</v>
      </c>
      <c r="AO92" s="22" t="s">
        <v>97</v>
      </c>
      <c r="AP92" s="22" t="s">
        <v>97</v>
      </c>
      <c r="AQ92" s="22" t="s">
        <v>97</v>
      </c>
      <c r="AR92" s="22" t="s">
        <v>97</v>
      </c>
      <c r="AS92" s="19" t="s">
        <v>49</v>
      </c>
      <c r="AT92" s="1"/>
      <c r="AU92" s="1"/>
      <c r="AV92" s="1"/>
      <c r="AW92" s="1"/>
      <c r="AX92" s="1"/>
    </row>
    <row r="93" spans="1:50" outlineLevel="1">
      <c r="A93" s="10" t="s">
        <v>101</v>
      </c>
      <c r="B93" s="10" t="s">
        <v>42</v>
      </c>
      <c r="C93" s="10" t="s">
        <v>51</v>
      </c>
      <c r="D93" s="10" t="s">
        <v>93</v>
      </c>
      <c r="E93" s="18"/>
      <c r="F93" s="18"/>
      <c r="G93" s="18"/>
      <c r="H93" s="59">
        <f t="shared" ref="H93:X93" si="3">H85*20</f>
        <v>3.22</v>
      </c>
      <c r="I93" s="59">
        <f t="shared" si="3"/>
        <v>3.22</v>
      </c>
      <c r="J93" s="59">
        <f t="shared" si="3"/>
        <v>3.22</v>
      </c>
      <c r="L93" s="59">
        <f t="shared" si="3"/>
        <v>3.3600000000000003</v>
      </c>
      <c r="M93" s="59">
        <f t="shared" si="3"/>
        <v>5.0999999999999996</v>
      </c>
      <c r="N93" s="59">
        <f t="shared" si="3"/>
        <v>7.9</v>
      </c>
      <c r="O93" s="59">
        <f t="shared" si="3"/>
        <v>10.06</v>
      </c>
      <c r="P93" s="18"/>
      <c r="Q93" s="59">
        <f t="shared" si="3"/>
        <v>16.48</v>
      </c>
      <c r="R93" s="59">
        <f t="shared" si="3"/>
        <v>26</v>
      </c>
      <c r="S93" s="59">
        <f t="shared" si="3"/>
        <v>38</v>
      </c>
      <c r="T93" s="18"/>
      <c r="U93" s="59">
        <f t="shared" si="3"/>
        <v>76</v>
      </c>
      <c r="V93" s="18"/>
      <c r="W93" s="59">
        <f t="shared" si="3"/>
        <v>138</v>
      </c>
      <c r="X93" s="59">
        <f t="shared" si="3"/>
        <v>204</v>
      </c>
      <c r="Y93" s="1"/>
      <c r="Z93" s="1"/>
      <c r="AA93" s="1"/>
      <c r="AB93" s="1"/>
      <c r="AC93" s="22" t="s">
        <v>97</v>
      </c>
      <c r="AD93" s="22" t="s">
        <v>97</v>
      </c>
      <c r="AE93" s="22" t="s">
        <v>97</v>
      </c>
      <c r="AF93" s="22" t="s">
        <v>97</v>
      </c>
      <c r="AG93" s="22" t="s">
        <v>97</v>
      </c>
      <c r="AH93" s="22" t="s">
        <v>97</v>
      </c>
      <c r="AI93" s="22" t="s">
        <v>97</v>
      </c>
      <c r="AJ93" s="22" t="s">
        <v>97</v>
      </c>
      <c r="AK93" s="22" t="s">
        <v>97</v>
      </c>
      <c r="AL93" s="22" t="s">
        <v>97</v>
      </c>
      <c r="AM93" s="22" t="s">
        <v>97</v>
      </c>
      <c r="AN93" s="22" t="s">
        <v>97</v>
      </c>
      <c r="AO93" s="22" t="s">
        <v>97</v>
      </c>
      <c r="AP93" s="22" t="s">
        <v>97</v>
      </c>
      <c r="AQ93" s="22" t="s">
        <v>97</v>
      </c>
      <c r="AR93" s="22" t="s">
        <v>97</v>
      </c>
      <c r="AS93" s="19" t="s">
        <v>49</v>
      </c>
      <c r="AT93" s="1"/>
      <c r="AU93" s="1"/>
      <c r="AV93" s="1"/>
      <c r="AW93" s="1"/>
      <c r="AX93" s="1"/>
    </row>
    <row r="94" spans="1:50" outlineLevel="1">
      <c r="A94" s="10" t="s">
        <v>101</v>
      </c>
      <c r="B94" s="10" t="s">
        <v>42</v>
      </c>
      <c r="C94" s="10" t="s">
        <v>52</v>
      </c>
      <c r="D94" s="10" t="s">
        <v>94</v>
      </c>
      <c r="E94" s="18"/>
      <c r="F94" s="18"/>
      <c r="G94" s="18"/>
      <c r="H94" s="18"/>
      <c r="I94" s="18"/>
      <c r="J94" s="18"/>
      <c r="L94" s="18"/>
      <c r="M94" s="18"/>
      <c r="N94" s="18"/>
      <c r="O94" s="18"/>
      <c r="P94" s="18"/>
      <c r="Q94" s="18"/>
      <c r="R94" s="18"/>
      <c r="S94" s="18"/>
      <c r="T94" s="23" t="s">
        <v>97</v>
      </c>
      <c r="U94" s="18"/>
      <c r="V94" s="23" t="s">
        <v>97</v>
      </c>
      <c r="W94" s="18"/>
      <c r="X94" s="18"/>
      <c r="Y94" s="1"/>
      <c r="Z94" s="1"/>
      <c r="AA94" s="1"/>
      <c r="AB94" s="1"/>
      <c r="AC94" s="22" t="s">
        <v>97</v>
      </c>
      <c r="AD94" s="22" t="s">
        <v>97</v>
      </c>
      <c r="AE94" s="22" t="s">
        <v>97</v>
      </c>
      <c r="AF94" s="22" t="s">
        <v>97</v>
      </c>
      <c r="AG94" s="22" t="s">
        <v>97</v>
      </c>
      <c r="AH94" s="22" t="s">
        <v>97</v>
      </c>
      <c r="AI94" s="22" t="s">
        <v>97</v>
      </c>
      <c r="AJ94" s="22" t="s">
        <v>97</v>
      </c>
      <c r="AK94" s="22" t="s">
        <v>97</v>
      </c>
      <c r="AL94" s="22" t="s">
        <v>97</v>
      </c>
      <c r="AM94" s="22" t="s">
        <v>97</v>
      </c>
      <c r="AN94" s="22" t="s">
        <v>97</v>
      </c>
      <c r="AO94" s="22" t="s">
        <v>97</v>
      </c>
      <c r="AP94" s="22" t="s">
        <v>97</v>
      </c>
      <c r="AQ94" s="22" t="s">
        <v>97</v>
      </c>
      <c r="AR94" s="22" t="s">
        <v>97</v>
      </c>
      <c r="AS94" s="19" t="s">
        <v>49</v>
      </c>
      <c r="AT94" s="1"/>
      <c r="AU94" s="1"/>
      <c r="AV94" s="1"/>
      <c r="AW94" s="1"/>
      <c r="AX94" s="1"/>
    </row>
    <row r="95" spans="1:50" outlineLevel="1">
      <c r="A95" s="10" t="s">
        <v>101</v>
      </c>
      <c r="B95" s="10" t="s">
        <v>42</v>
      </c>
      <c r="C95" s="10" t="s">
        <v>90</v>
      </c>
      <c r="D95" s="10" t="s">
        <v>88</v>
      </c>
      <c r="E95" s="18"/>
      <c r="F95" s="18"/>
      <c r="G95" s="18"/>
      <c r="H95" s="18"/>
      <c r="I95" s="18"/>
      <c r="J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"/>
      <c r="Z95" s="1"/>
      <c r="AA95" s="1"/>
      <c r="AB95" s="1"/>
      <c r="AC95" s="22" t="s">
        <v>97</v>
      </c>
      <c r="AD95" s="22" t="s">
        <v>97</v>
      </c>
      <c r="AE95" s="22" t="s">
        <v>97</v>
      </c>
      <c r="AF95" s="22" t="s">
        <v>97</v>
      </c>
      <c r="AG95" s="22" t="s">
        <v>97</v>
      </c>
      <c r="AH95" s="22" t="s">
        <v>97</v>
      </c>
      <c r="AI95" s="22" t="s">
        <v>97</v>
      </c>
      <c r="AJ95" s="22" t="s">
        <v>97</v>
      </c>
      <c r="AK95" s="22" t="s">
        <v>97</v>
      </c>
      <c r="AL95" s="22" t="s">
        <v>97</v>
      </c>
      <c r="AM95" s="22" t="s">
        <v>97</v>
      </c>
      <c r="AN95" s="22" t="s">
        <v>97</v>
      </c>
      <c r="AO95" s="22" t="s">
        <v>97</v>
      </c>
      <c r="AP95" s="22" t="s">
        <v>97</v>
      </c>
      <c r="AQ95" s="22" t="s">
        <v>97</v>
      </c>
      <c r="AR95" s="22" t="s">
        <v>97</v>
      </c>
      <c r="AS95" s="19" t="s">
        <v>49</v>
      </c>
      <c r="AT95" s="1"/>
      <c r="AU95" s="1"/>
      <c r="AV95" s="1"/>
      <c r="AW95" s="1"/>
      <c r="AX95" s="1"/>
    </row>
    <row r="96" spans="1:50" outlineLevel="1">
      <c r="A96" s="10" t="s">
        <v>101</v>
      </c>
      <c r="B96" s="10" t="s">
        <v>42</v>
      </c>
      <c r="C96" s="10" t="s">
        <v>91</v>
      </c>
      <c r="D96" s="10" t="s">
        <v>89</v>
      </c>
      <c r="E96" s="18"/>
      <c r="F96" s="18"/>
      <c r="G96" s="18"/>
      <c r="H96" s="18"/>
      <c r="I96" s="18"/>
      <c r="J96" s="18"/>
      <c r="L96" s="18"/>
      <c r="M96" s="18"/>
      <c r="N96" s="18"/>
      <c r="O96" s="18"/>
      <c r="P96" s="18"/>
      <c r="Q96" s="18"/>
      <c r="R96" s="18"/>
      <c r="S96" s="18"/>
      <c r="T96" s="23" t="s">
        <v>97</v>
      </c>
      <c r="U96" s="18"/>
      <c r="V96" s="23" t="s">
        <v>97</v>
      </c>
      <c r="W96" s="18"/>
      <c r="X96" s="18"/>
      <c r="Y96" s="1"/>
      <c r="Z96" s="1"/>
      <c r="AA96" s="1"/>
      <c r="AB96" s="1"/>
      <c r="AC96" s="22" t="s">
        <v>97</v>
      </c>
      <c r="AD96" s="22" t="s">
        <v>97</v>
      </c>
      <c r="AE96" s="22" t="s">
        <v>97</v>
      </c>
      <c r="AF96" s="22" t="s">
        <v>97</v>
      </c>
      <c r="AG96" s="22" t="s">
        <v>97</v>
      </c>
      <c r="AH96" s="22" t="s">
        <v>97</v>
      </c>
      <c r="AI96" s="22" t="s">
        <v>97</v>
      </c>
      <c r="AJ96" s="22" t="s">
        <v>97</v>
      </c>
      <c r="AK96" s="22" t="s">
        <v>97</v>
      </c>
      <c r="AL96" s="22" t="s">
        <v>97</v>
      </c>
      <c r="AM96" s="22" t="s">
        <v>97</v>
      </c>
      <c r="AN96" s="22" t="s">
        <v>97</v>
      </c>
      <c r="AO96" s="22" t="s">
        <v>97</v>
      </c>
      <c r="AP96" s="22" t="s">
        <v>97</v>
      </c>
      <c r="AQ96" s="22" t="s">
        <v>97</v>
      </c>
      <c r="AR96" s="22" t="s">
        <v>97</v>
      </c>
      <c r="AS96" s="19" t="s">
        <v>49</v>
      </c>
      <c r="AT96" s="1"/>
      <c r="AU96" s="1"/>
      <c r="AV96" s="1"/>
      <c r="AW96" s="1"/>
      <c r="AX96" s="1"/>
    </row>
    <row r="97" spans="1:50" outlineLevel="1">
      <c r="A97" s="10" t="s">
        <v>101</v>
      </c>
      <c r="B97" s="10" t="s">
        <v>42</v>
      </c>
      <c r="C97" s="10" t="s">
        <v>95</v>
      </c>
      <c r="D97" s="10" t="s">
        <v>96</v>
      </c>
      <c r="E97" s="18"/>
      <c r="F97" s="18"/>
      <c r="G97" s="18"/>
      <c r="H97" s="18"/>
      <c r="I97" s="18"/>
      <c r="J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"/>
      <c r="Z97" s="1"/>
      <c r="AA97" s="1"/>
      <c r="AB97" s="1"/>
      <c r="AC97" s="22" t="s">
        <v>97</v>
      </c>
      <c r="AD97" s="22" t="s">
        <v>97</v>
      </c>
      <c r="AE97" s="22" t="s">
        <v>97</v>
      </c>
      <c r="AF97" s="22" t="s">
        <v>97</v>
      </c>
      <c r="AG97" s="22" t="s">
        <v>97</v>
      </c>
      <c r="AH97" s="22" t="s">
        <v>97</v>
      </c>
      <c r="AI97" s="22" t="s">
        <v>97</v>
      </c>
      <c r="AJ97" s="22" t="s">
        <v>97</v>
      </c>
      <c r="AK97" s="22" t="s">
        <v>97</v>
      </c>
      <c r="AL97" s="22" t="s">
        <v>97</v>
      </c>
      <c r="AM97" s="22" t="s">
        <v>97</v>
      </c>
      <c r="AN97" s="22" t="s">
        <v>97</v>
      </c>
      <c r="AO97" s="22" t="s">
        <v>97</v>
      </c>
      <c r="AP97" s="22" t="s">
        <v>97</v>
      </c>
      <c r="AQ97" s="22" t="s">
        <v>97</v>
      </c>
      <c r="AR97" s="22" t="s">
        <v>97</v>
      </c>
      <c r="AS97" s="19" t="s">
        <v>49</v>
      </c>
      <c r="AT97" s="1"/>
      <c r="AU97" s="1"/>
      <c r="AV97" s="1"/>
      <c r="AW97" s="1"/>
      <c r="AX97" s="1"/>
    </row>
    <row r="98" spans="1:50" outlineLevel="1">
      <c r="A98" s="10" t="s">
        <v>101</v>
      </c>
      <c r="B98" s="10" t="s">
        <v>42</v>
      </c>
      <c r="C98" s="10" t="s">
        <v>128</v>
      </c>
      <c r="D98" s="10" t="s">
        <v>134</v>
      </c>
      <c r="E98" s="18"/>
      <c r="F98" s="18"/>
      <c r="G98" s="18"/>
      <c r="H98" s="18"/>
      <c r="I98" s="18"/>
      <c r="J98" s="18"/>
      <c r="L98" s="18"/>
      <c r="M98" s="18"/>
      <c r="N98" s="18"/>
      <c r="O98" s="18"/>
      <c r="P98" s="18"/>
      <c r="Q98" s="18"/>
      <c r="R98" s="18"/>
      <c r="S98" s="18"/>
      <c r="T98" s="23" t="s">
        <v>97</v>
      </c>
      <c r="U98" s="18"/>
      <c r="V98" s="23" t="s">
        <v>97</v>
      </c>
      <c r="W98" s="18"/>
      <c r="X98" s="18"/>
      <c r="Y98" s="1"/>
      <c r="Z98" s="1"/>
      <c r="AA98" s="1"/>
      <c r="AB98" s="1"/>
      <c r="AC98" s="22" t="s">
        <v>97</v>
      </c>
      <c r="AD98" s="22" t="s">
        <v>97</v>
      </c>
      <c r="AE98" s="22" t="s">
        <v>97</v>
      </c>
      <c r="AF98" s="22" t="s">
        <v>97</v>
      </c>
      <c r="AG98" s="22" t="s">
        <v>97</v>
      </c>
      <c r="AH98" s="22" t="s">
        <v>97</v>
      </c>
      <c r="AI98" s="22" t="s">
        <v>97</v>
      </c>
      <c r="AJ98" s="22" t="s">
        <v>97</v>
      </c>
      <c r="AK98" s="22" t="s">
        <v>97</v>
      </c>
      <c r="AL98" s="22" t="s">
        <v>97</v>
      </c>
      <c r="AM98" s="22" t="s">
        <v>97</v>
      </c>
      <c r="AN98" s="22" t="s">
        <v>97</v>
      </c>
      <c r="AO98" s="22" t="s">
        <v>97</v>
      </c>
      <c r="AP98" s="22" t="s">
        <v>97</v>
      </c>
      <c r="AQ98" s="22" t="s">
        <v>97</v>
      </c>
      <c r="AR98" s="22" t="s">
        <v>97</v>
      </c>
      <c r="AS98" s="19" t="s">
        <v>48</v>
      </c>
      <c r="AT98" s="1"/>
      <c r="AU98" s="1"/>
      <c r="AV98" s="1"/>
      <c r="AW98" s="1"/>
      <c r="AX98" s="1"/>
    </row>
    <row r="99" spans="1:50" outlineLevel="1">
      <c r="A99" s="10" t="s">
        <v>101</v>
      </c>
      <c r="B99" s="10" t="s">
        <v>42</v>
      </c>
      <c r="C99" s="24" t="s">
        <v>135</v>
      </c>
      <c r="D99" s="10" t="s">
        <v>92</v>
      </c>
      <c r="E99" s="18"/>
      <c r="F99" s="18"/>
      <c r="G99" s="18"/>
      <c r="H99" s="18"/>
      <c r="I99" s="18"/>
      <c r="J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9" t="s">
        <v>49</v>
      </c>
      <c r="AT99" s="1"/>
      <c r="AU99" s="1"/>
      <c r="AV99" s="1"/>
      <c r="AW99" s="1"/>
      <c r="AX99" s="1"/>
    </row>
    <row r="100" spans="1:50" outlineLevel="1">
      <c r="A100" s="20" t="s">
        <v>252</v>
      </c>
      <c r="B100" s="20" t="s">
        <v>246</v>
      </c>
      <c r="C100" s="20" t="s">
        <v>253</v>
      </c>
      <c r="D100" s="20" t="s">
        <v>48</v>
      </c>
      <c r="E100" s="19" t="s">
        <v>48</v>
      </c>
      <c r="F100" s="19" t="s">
        <v>48</v>
      </c>
      <c r="G100" s="19" t="s">
        <v>48</v>
      </c>
      <c r="H100" s="19" t="s">
        <v>48</v>
      </c>
      <c r="I100" s="19" t="s">
        <v>48</v>
      </c>
      <c r="J100" s="19" t="s">
        <v>48</v>
      </c>
      <c r="K100" s="21" t="s">
        <v>48</v>
      </c>
      <c r="L100" s="19" t="s">
        <v>48</v>
      </c>
      <c r="M100" s="19" t="s">
        <v>48</v>
      </c>
      <c r="N100" s="19" t="s">
        <v>48</v>
      </c>
      <c r="O100" s="19" t="s">
        <v>48</v>
      </c>
      <c r="P100" s="19" t="s">
        <v>48</v>
      </c>
      <c r="Q100" s="19" t="s">
        <v>48</v>
      </c>
      <c r="R100" s="19" t="s">
        <v>48</v>
      </c>
      <c r="S100" s="19" t="s">
        <v>48</v>
      </c>
      <c r="T100" s="19" t="s">
        <v>48</v>
      </c>
      <c r="U100" s="19" t="s">
        <v>48</v>
      </c>
      <c r="V100" s="19"/>
      <c r="W100" s="19" t="s">
        <v>48</v>
      </c>
      <c r="X100" s="19" t="s">
        <v>48</v>
      </c>
      <c r="Y100" s="19" t="s">
        <v>48</v>
      </c>
      <c r="Z100" s="19" t="s">
        <v>48</v>
      </c>
      <c r="AA100" s="19" t="s">
        <v>48</v>
      </c>
      <c r="AB100" s="19" t="s">
        <v>48</v>
      </c>
      <c r="AC100" s="19" t="s">
        <v>48</v>
      </c>
      <c r="AD100" s="19" t="s">
        <v>48</v>
      </c>
      <c r="AE100" s="19" t="s">
        <v>48</v>
      </c>
      <c r="AF100" s="19" t="s">
        <v>48</v>
      </c>
      <c r="AG100" s="19" t="s">
        <v>48</v>
      </c>
      <c r="AH100" s="19" t="s">
        <v>48</v>
      </c>
      <c r="AI100" s="19" t="s">
        <v>48</v>
      </c>
      <c r="AJ100" s="19" t="s">
        <v>48</v>
      </c>
      <c r="AK100" s="19" t="s">
        <v>48</v>
      </c>
      <c r="AL100" s="19" t="s">
        <v>48</v>
      </c>
      <c r="AM100" s="19" t="s">
        <v>48</v>
      </c>
      <c r="AN100" s="19" t="s">
        <v>48</v>
      </c>
      <c r="AO100" s="19" t="s">
        <v>48</v>
      </c>
      <c r="AP100" s="19" t="s">
        <v>48</v>
      </c>
      <c r="AQ100" s="19" t="s">
        <v>48</v>
      </c>
      <c r="AR100" s="19" t="s">
        <v>48</v>
      </c>
      <c r="AS100" s="19" t="s">
        <v>49</v>
      </c>
      <c r="AT100" s="1"/>
      <c r="AU100" s="1"/>
      <c r="AV100" s="1"/>
      <c r="AW100" s="1"/>
      <c r="AX100" s="1"/>
    </row>
    <row r="101" spans="1:50" outlineLevel="1">
      <c r="A101" s="10" t="s">
        <v>102</v>
      </c>
      <c r="B101" s="10" t="s">
        <v>42</v>
      </c>
      <c r="C101" s="10" t="s">
        <v>1</v>
      </c>
      <c r="D101" s="10" t="s">
        <v>84</v>
      </c>
      <c r="E101" s="1"/>
      <c r="F101" s="1"/>
      <c r="G101" s="1"/>
      <c r="H101" s="1">
        <v>0.38200000000000001</v>
      </c>
      <c r="I101" s="1">
        <v>0.38200000000000001</v>
      </c>
      <c r="J101" s="1">
        <v>0.40899999999999997</v>
      </c>
      <c r="L101" s="1">
        <v>0.442</v>
      </c>
      <c r="M101" s="1">
        <v>0.61599999999999999</v>
      </c>
      <c r="N101" s="1">
        <v>0.96499999999999997</v>
      </c>
      <c r="O101" s="1">
        <v>1.2130000000000001</v>
      </c>
      <c r="P101" s="1"/>
      <c r="Q101" s="1">
        <v>1.742</v>
      </c>
      <c r="R101" s="1">
        <v>2.5190000000000001</v>
      </c>
      <c r="S101" s="1">
        <v>3.7679999999999998</v>
      </c>
      <c r="T101" s="1"/>
      <c r="U101" s="1">
        <v>7.1360000000000001</v>
      </c>
      <c r="V101" s="1"/>
      <c r="W101" s="1">
        <v>12.173999999999999</v>
      </c>
      <c r="X101" s="1">
        <v>19.256</v>
      </c>
      <c r="Y101" s="1"/>
      <c r="Z101" s="1"/>
      <c r="AA101" s="1"/>
      <c r="AB101" s="5"/>
      <c r="AC101" s="22" t="s">
        <v>97</v>
      </c>
      <c r="AD101" s="22" t="s">
        <v>97</v>
      </c>
      <c r="AE101" s="22" t="s">
        <v>97</v>
      </c>
      <c r="AF101" s="22" t="s">
        <v>97</v>
      </c>
      <c r="AG101" s="22" t="s">
        <v>97</v>
      </c>
      <c r="AH101" s="22" t="s">
        <v>97</v>
      </c>
      <c r="AI101" s="22" t="s">
        <v>97</v>
      </c>
      <c r="AJ101" s="22" t="s">
        <v>97</v>
      </c>
      <c r="AK101" s="22" t="s">
        <v>97</v>
      </c>
      <c r="AL101" s="22" t="s">
        <v>97</v>
      </c>
      <c r="AM101" s="22" t="s">
        <v>97</v>
      </c>
      <c r="AN101" s="22" t="s">
        <v>97</v>
      </c>
      <c r="AO101" s="22" t="s">
        <v>97</v>
      </c>
      <c r="AP101" s="22" t="s">
        <v>97</v>
      </c>
      <c r="AQ101" s="22" t="s">
        <v>97</v>
      </c>
      <c r="AR101" s="22" t="s">
        <v>97</v>
      </c>
      <c r="AS101" s="19" t="s">
        <v>49</v>
      </c>
      <c r="AT101" s="1"/>
      <c r="AU101" s="1"/>
      <c r="AV101" s="1"/>
      <c r="AW101" s="1"/>
      <c r="AX101" s="1"/>
    </row>
    <row r="102" spans="1:50" outlineLevel="1">
      <c r="A102" s="10" t="s">
        <v>102</v>
      </c>
      <c r="B102" s="10" t="s">
        <v>42</v>
      </c>
      <c r="C102" s="10" t="s">
        <v>50</v>
      </c>
      <c r="D102" s="10" t="s">
        <v>86</v>
      </c>
      <c r="E102" s="1"/>
      <c r="F102" s="1"/>
      <c r="G102" s="1"/>
      <c r="H102" s="1">
        <v>0.40899999999999997</v>
      </c>
      <c r="I102" s="1">
        <v>0.40899999999999997</v>
      </c>
      <c r="J102" s="1">
        <v>0.442</v>
      </c>
      <c r="L102" s="1">
        <v>0.51600000000000001</v>
      </c>
      <c r="M102" s="1">
        <v>0.72399999999999998</v>
      </c>
      <c r="N102" s="1">
        <v>1.139</v>
      </c>
      <c r="O102" s="1">
        <v>1.4410000000000001</v>
      </c>
      <c r="P102" s="1"/>
      <c r="Q102" s="1">
        <v>2.1339999999999999</v>
      </c>
      <c r="R102" s="1">
        <v>3.0750000000000002</v>
      </c>
      <c r="S102" s="1">
        <v>4.6230000000000002</v>
      </c>
      <c r="T102" s="1"/>
      <c r="U102" s="1">
        <v>8.6969999999999992</v>
      </c>
      <c r="V102" s="1"/>
      <c r="W102" s="1">
        <v>14.834</v>
      </c>
      <c r="X102" s="1">
        <v>23.161999999999999</v>
      </c>
      <c r="Y102" s="1"/>
      <c r="Z102" s="1"/>
      <c r="AA102" s="1"/>
      <c r="AB102" s="1"/>
      <c r="AC102" s="22" t="s">
        <v>97</v>
      </c>
      <c r="AD102" s="22" t="s">
        <v>97</v>
      </c>
      <c r="AE102" s="22" t="s">
        <v>97</v>
      </c>
      <c r="AF102" s="22" t="s">
        <v>97</v>
      </c>
      <c r="AG102" s="22" t="s">
        <v>97</v>
      </c>
      <c r="AH102" s="22" t="s">
        <v>97</v>
      </c>
      <c r="AI102" s="22" t="s">
        <v>97</v>
      </c>
      <c r="AJ102" s="22" t="s">
        <v>97</v>
      </c>
      <c r="AK102" s="22" t="s">
        <v>97</v>
      </c>
      <c r="AL102" s="22" t="s">
        <v>97</v>
      </c>
      <c r="AM102" s="22" t="s">
        <v>97</v>
      </c>
      <c r="AN102" s="22" t="s">
        <v>97</v>
      </c>
      <c r="AO102" s="22" t="s">
        <v>97</v>
      </c>
      <c r="AP102" s="22" t="s">
        <v>97</v>
      </c>
      <c r="AQ102" s="22" t="s">
        <v>97</v>
      </c>
      <c r="AR102" s="22" t="s">
        <v>97</v>
      </c>
      <c r="AS102" s="19" t="s">
        <v>49</v>
      </c>
      <c r="AT102" s="1"/>
      <c r="AU102" s="1"/>
      <c r="AV102" s="1"/>
      <c r="AW102" s="1"/>
      <c r="AX102" s="1"/>
    </row>
    <row r="103" spans="1:50" outlineLevel="1">
      <c r="A103" s="10" t="s">
        <v>102</v>
      </c>
      <c r="B103" s="10" t="s">
        <v>42</v>
      </c>
      <c r="C103" s="14" t="s">
        <v>14</v>
      </c>
      <c r="D103" s="10" t="s">
        <v>60</v>
      </c>
      <c r="E103" s="1"/>
      <c r="F103" s="1"/>
      <c r="G103" s="1"/>
      <c r="H103" s="1">
        <v>1.1859999999999999</v>
      </c>
      <c r="I103" s="1">
        <v>1.1859999999999999</v>
      </c>
      <c r="J103" s="1">
        <v>1.254</v>
      </c>
      <c r="L103" s="1">
        <v>1.4139999999999999</v>
      </c>
      <c r="M103" s="1">
        <v>1.778</v>
      </c>
      <c r="N103" s="1">
        <v>2.3370000000000002</v>
      </c>
      <c r="O103" s="1">
        <v>3.323</v>
      </c>
      <c r="P103" s="1"/>
      <c r="Q103" s="1">
        <v>5.1130000000000004</v>
      </c>
      <c r="R103" s="1">
        <v>8.14</v>
      </c>
      <c r="S103" s="1">
        <v>12.77</v>
      </c>
      <c r="T103" s="22" t="s">
        <v>97</v>
      </c>
      <c r="U103" s="1">
        <v>23.876999999999999</v>
      </c>
      <c r="V103" s="22" t="s">
        <v>97</v>
      </c>
      <c r="W103" s="1">
        <v>45.765999999999998</v>
      </c>
      <c r="X103" s="1">
        <v>73.935000000000002</v>
      </c>
      <c r="Y103" s="1"/>
      <c r="Z103" s="1"/>
      <c r="AA103" s="1"/>
      <c r="AB103" s="1"/>
      <c r="AC103" s="22" t="s">
        <v>97</v>
      </c>
      <c r="AD103" s="22" t="s">
        <v>97</v>
      </c>
      <c r="AE103" s="22" t="s">
        <v>97</v>
      </c>
      <c r="AF103" s="22" t="s">
        <v>97</v>
      </c>
      <c r="AG103" s="22" t="s">
        <v>97</v>
      </c>
      <c r="AH103" s="22" t="s">
        <v>97</v>
      </c>
      <c r="AI103" s="22" t="s">
        <v>97</v>
      </c>
      <c r="AJ103" s="22" t="s">
        <v>97</v>
      </c>
      <c r="AK103" s="22" t="s">
        <v>97</v>
      </c>
      <c r="AL103" s="22" t="s">
        <v>97</v>
      </c>
      <c r="AM103" s="22" t="s">
        <v>97</v>
      </c>
      <c r="AN103" s="22" t="s">
        <v>97</v>
      </c>
      <c r="AO103" s="22" t="s">
        <v>97</v>
      </c>
      <c r="AP103" s="22" t="s">
        <v>97</v>
      </c>
      <c r="AQ103" s="22" t="s">
        <v>97</v>
      </c>
      <c r="AR103" s="22" t="s">
        <v>97</v>
      </c>
      <c r="AS103" s="19" t="s">
        <v>49</v>
      </c>
      <c r="AT103" s="1"/>
      <c r="AU103" s="1"/>
      <c r="AV103" s="1"/>
      <c r="AW103" s="1"/>
      <c r="AX103" s="1"/>
    </row>
    <row r="104" spans="1:50" outlineLevel="1">
      <c r="A104" s="10" t="s">
        <v>102</v>
      </c>
      <c r="B104" s="10" t="s">
        <v>42</v>
      </c>
      <c r="C104" s="14" t="s">
        <v>19</v>
      </c>
      <c r="D104" s="10" t="s">
        <v>64</v>
      </c>
      <c r="E104" s="1"/>
      <c r="F104" s="1"/>
      <c r="G104" s="1"/>
      <c r="H104" s="1">
        <v>0.63800000000000001</v>
      </c>
      <c r="I104" s="1">
        <v>0.63800000000000001</v>
      </c>
      <c r="J104" s="1">
        <v>0.69599999999999995</v>
      </c>
      <c r="L104" s="1">
        <v>0.73499999999999999</v>
      </c>
      <c r="M104" s="1">
        <v>1.032</v>
      </c>
      <c r="N104" s="1">
        <v>1.6930000000000001</v>
      </c>
      <c r="O104" s="1">
        <v>2.3540000000000001</v>
      </c>
      <c r="P104" s="1"/>
      <c r="Q104" s="1">
        <v>3.5</v>
      </c>
      <c r="R104" s="1">
        <v>5.2270000000000003</v>
      </c>
      <c r="S104" s="1">
        <v>7.6890000000000001</v>
      </c>
      <c r="T104" s="22" t="s">
        <v>97</v>
      </c>
      <c r="U104" s="1">
        <v>14.279</v>
      </c>
      <c r="V104" s="22" t="s">
        <v>97</v>
      </c>
      <c r="W104" s="1">
        <v>24.329000000000001</v>
      </c>
      <c r="X104" s="1">
        <v>43.866999999999997</v>
      </c>
      <c r="Y104" s="1"/>
      <c r="Z104" s="1"/>
      <c r="AA104" s="1"/>
      <c r="AB104" s="1"/>
      <c r="AC104" s="22" t="s">
        <v>97</v>
      </c>
      <c r="AD104" s="22" t="s">
        <v>97</v>
      </c>
      <c r="AE104" s="22" t="s">
        <v>97</v>
      </c>
      <c r="AF104" s="22" t="s">
        <v>97</v>
      </c>
      <c r="AG104" s="22" t="s">
        <v>97</v>
      </c>
      <c r="AH104" s="22" t="s">
        <v>97</v>
      </c>
      <c r="AI104" s="22" t="s">
        <v>97</v>
      </c>
      <c r="AJ104" s="22" t="s">
        <v>97</v>
      </c>
      <c r="AK104" s="22" t="s">
        <v>97</v>
      </c>
      <c r="AL104" s="22" t="s">
        <v>97</v>
      </c>
      <c r="AM104" s="22" t="s">
        <v>97</v>
      </c>
      <c r="AN104" s="22" t="s">
        <v>97</v>
      </c>
      <c r="AO104" s="22" t="s">
        <v>97</v>
      </c>
      <c r="AP104" s="22" t="s">
        <v>97</v>
      </c>
      <c r="AQ104" s="22" t="s">
        <v>97</v>
      </c>
      <c r="AR104" s="22" t="s">
        <v>97</v>
      </c>
      <c r="AS104" s="19" t="s">
        <v>49</v>
      </c>
      <c r="AT104" s="1"/>
      <c r="AU104" s="1"/>
      <c r="AV104" s="1"/>
      <c r="AW104" s="1"/>
      <c r="AX104" s="1"/>
    </row>
    <row r="105" spans="1:50" outlineLevel="1">
      <c r="A105" s="10" t="s">
        <v>102</v>
      </c>
      <c r="B105" s="10" t="s">
        <v>42</v>
      </c>
      <c r="C105" s="14" t="s">
        <v>23</v>
      </c>
      <c r="D105" s="10" t="s">
        <v>71</v>
      </c>
      <c r="E105" s="1"/>
      <c r="F105" s="1"/>
      <c r="G105" s="1"/>
      <c r="H105" s="1">
        <v>0.74</v>
      </c>
      <c r="I105" s="1">
        <v>1.36</v>
      </c>
      <c r="J105" s="1">
        <v>1.3680000000000001</v>
      </c>
      <c r="L105" s="1">
        <v>1.4950000000000001</v>
      </c>
      <c r="M105" s="1">
        <v>1.8</v>
      </c>
      <c r="N105" s="1">
        <v>2.7360000000000002</v>
      </c>
      <c r="O105" s="1">
        <v>3.024</v>
      </c>
      <c r="P105" s="1"/>
      <c r="Q105" s="1">
        <v>4.29</v>
      </c>
      <c r="R105" s="1">
        <v>10.08</v>
      </c>
      <c r="S105" s="1">
        <v>10.8</v>
      </c>
      <c r="T105" s="1"/>
      <c r="U105" s="1">
        <v>21.6</v>
      </c>
      <c r="V105" s="1"/>
      <c r="W105" s="1">
        <v>38.799999999999997</v>
      </c>
      <c r="X105" s="1">
        <v>54.72</v>
      </c>
      <c r="Y105" s="22" t="s">
        <v>97</v>
      </c>
      <c r="Z105" s="22" t="s">
        <v>97</v>
      </c>
      <c r="AA105" s="22" t="s">
        <v>97</v>
      </c>
      <c r="AB105" s="22" t="s">
        <v>97</v>
      </c>
      <c r="AC105" s="22" t="s">
        <v>97</v>
      </c>
      <c r="AD105" s="22" t="s">
        <v>97</v>
      </c>
      <c r="AE105" s="22" t="s">
        <v>97</v>
      </c>
      <c r="AF105" s="22" t="s">
        <v>97</v>
      </c>
      <c r="AG105" s="22" t="s">
        <v>97</v>
      </c>
      <c r="AH105" s="22" t="s">
        <v>97</v>
      </c>
      <c r="AI105" s="22" t="s">
        <v>97</v>
      </c>
      <c r="AJ105" s="22" t="s">
        <v>97</v>
      </c>
      <c r="AK105" s="22" t="s">
        <v>97</v>
      </c>
      <c r="AL105" s="22" t="s">
        <v>97</v>
      </c>
      <c r="AM105" s="22" t="s">
        <v>97</v>
      </c>
      <c r="AN105" s="22" t="s">
        <v>97</v>
      </c>
      <c r="AO105" s="22" t="s">
        <v>97</v>
      </c>
      <c r="AP105" s="22" t="s">
        <v>97</v>
      </c>
      <c r="AQ105" s="22" t="s">
        <v>97</v>
      </c>
      <c r="AR105" s="22" t="s">
        <v>97</v>
      </c>
      <c r="AS105" s="19" t="s">
        <v>49</v>
      </c>
      <c r="AT105" s="1"/>
      <c r="AU105" s="1"/>
      <c r="AV105" s="1"/>
      <c r="AW105" s="1"/>
      <c r="AX105" s="1"/>
    </row>
    <row r="106" spans="1:50" outlineLevel="1">
      <c r="A106" s="10" t="s">
        <v>102</v>
      </c>
      <c r="B106" s="10" t="s">
        <v>42</v>
      </c>
      <c r="C106" s="14" t="s">
        <v>28</v>
      </c>
      <c r="D106" s="10" t="s">
        <v>73</v>
      </c>
      <c r="E106" s="1"/>
      <c r="F106" s="1"/>
      <c r="G106" s="1"/>
      <c r="H106" s="1">
        <v>0.94</v>
      </c>
      <c r="I106" s="1">
        <v>1.36</v>
      </c>
      <c r="J106" s="1">
        <v>1.7749999999999999</v>
      </c>
      <c r="L106" s="1">
        <v>2.16</v>
      </c>
      <c r="M106" s="1">
        <v>2.16</v>
      </c>
      <c r="N106" s="1">
        <v>5.5439999999999996</v>
      </c>
      <c r="O106" s="1">
        <v>6.12</v>
      </c>
      <c r="P106" s="1"/>
      <c r="Q106" s="1">
        <v>10.08</v>
      </c>
      <c r="R106" s="1">
        <v>19.440000000000001</v>
      </c>
      <c r="S106" s="1">
        <v>23.76</v>
      </c>
      <c r="T106" s="1"/>
      <c r="U106" s="1">
        <v>44.64</v>
      </c>
      <c r="V106" s="1"/>
      <c r="W106" s="1">
        <v>88.56</v>
      </c>
      <c r="X106" s="1">
        <v>135.36000000000001</v>
      </c>
      <c r="Y106" s="1"/>
      <c r="Z106" s="1"/>
      <c r="AA106" s="1"/>
      <c r="AB106" s="1"/>
      <c r="AC106" s="1"/>
      <c r="AD106" s="1"/>
      <c r="AE106" s="1"/>
      <c r="AF106" s="22" t="s">
        <v>97</v>
      </c>
      <c r="AG106" s="22" t="s">
        <v>97</v>
      </c>
      <c r="AH106" s="22" t="s">
        <v>97</v>
      </c>
      <c r="AI106" s="22" t="s">
        <v>97</v>
      </c>
      <c r="AJ106" s="22" t="s">
        <v>97</v>
      </c>
      <c r="AK106" s="22" t="s">
        <v>97</v>
      </c>
      <c r="AL106" s="22" t="s">
        <v>97</v>
      </c>
      <c r="AM106" s="22" t="s">
        <v>97</v>
      </c>
      <c r="AN106" s="22" t="s">
        <v>97</v>
      </c>
      <c r="AO106" s="22" t="s">
        <v>97</v>
      </c>
      <c r="AP106" s="22" t="s">
        <v>97</v>
      </c>
      <c r="AQ106" s="22" t="s">
        <v>97</v>
      </c>
      <c r="AR106" s="22" t="s">
        <v>97</v>
      </c>
      <c r="AS106" s="19" t="s">
        <v>49</v>
      </c>
      <c r="AT106" s="1"/>
      <c r="AU106" s="1"/>
      <c r="AV106" s="1"/>
      <c r="AW106" s="1"/>
      <c r="AX106" s="1"/>
    </row>
    <row r="107" spans="1:50" outlineLevel="1">
      <c r="A107" s="10" t="s">
        <v>102</v>
      </c>
      <c r="B107" s="10" t="s">
        <v>42</v>
      </c>
      <c r="C107" s="14" t="s">
        <v>30</v>
      </c>
      <c r="D107" s="10" t="s">
        <v>78</v>
      </c>
      <c r="E107" s="1"/>
      <c r="F107" s="1"/>
      <c r="G107" s="1"/>
      <c r="H107" s="1">
        <v>1.4850000000000001</v>
      </c>
      <c r="I107" s="1">
        <v>2.149</v>
      </c>
      <c r="J107" s="1">
        <v>2.16</v>
      </c>
      <c r="L107" s="1">
        <v>2.3759999999999999</v>
      </c>
      <c r="M107" s="1">
        <v>2.88</v>
      </c>
      <c r="N107" s="1">
        <v>4.3979999999999997</v>
      </c>
      <c r="O107" s="1">
        <v>4.8239999999999998</v>
      </c>
      <c r="P107" s="1"/>
      <c r="Q107" s="1">
        <v>7.1239999999999997</v>
      </c>
      <c r="R107" s="1">
        <v>15.84</v>
      </c>
      <c r="S107" s="1">
        <v>17.28</v>
      </c>
      <c r="T107" s="1"/>
      <c r="U107" s="1">
        <v>33.840000000000003</v>
      </c>
      <c r="V107" s="1"/>
      <c r="W107" s="1">
        <v>60.48</v>
      </c>
      <c r="X107" s="1">
        <v>85.68</v>
      </c>
      <c r="Y107" s="22" t="s">
        <v>97</v>
      </c>
      <c r="Z107" s="22" t="s">
        <v>97</v>
      </c>
      <c r="AA107" s="22" t="s">
        <v>97</v>
      </c>
      <c r="AB107" s="22" t="s">
        <v>97</v>
      </c>
      <c r="AC107" s="22" t="s">
        <v>97</v>
      </c>
      <c r="AD107" s="22" t="s">
        <v>97</v>
      </c>
      <c r="AE107" s="22" t="s">
        <v>97</v>
      </c>
      <c r="AF107" s="22" t="s">
        <v>97</v>
      </c>
      <c r="AG107" s="22" t="s">
        <v>97</v>
      </c>
      <c r="AH107" s="22" t="s">
        <v>97</v>
      </c>
      <c r="AI107" s="22" t="s">
        <v>97</v>
      </c>
      <c r="AJ107" s="22" t="s">
        <v>97</v>
      </c>
      <c r="AK107" s="22" t="s">
        <v>97</v>
      </c>
      <c r="AL107" s="22" t="s">
        <v>97</v>
      </c>
      <c r="AM107" s="22" t="s">
        <v>97</v>
      </c>
      <c r="AN107" s="22" t="s">
        <v>97</v>
      </c>
      <c r="AO107" s="22" t="s">
        <v>97</v>
      </c>
      <c r="AP107" s="22" t="s">
        <v>97</v>
      </c>
      <c r="AQ107" s="22" t="s">
        <v>97</v>
      </c>
      <c r="AR107" s="22" t="s">
        <v>97</v>
      </c>
      <c r="AS107" s="19" t="s">
        <v>49</v>
      </c>
      <c r="AT107" s="1"/>
      <c r="AU107" s="1"/>
      <c r="AV107" s="1"/>
      <c r="AW107" s="1"/>
      <c r="AX107" s="1"/>
    </row>
    <row r="108" spans="1:50" outlineLevel="1">
      <c r="A108" s="10" t="s">
        <v>102</v>
      </c>
      <c r="B108" s="10" t="s">
        <v>42</v>
      </c>
      <c r="C108" s="14" t="s">
        <v>33</v>
      </c>
      <c r="D108" s="10" t="s">
        <v>79</v>
      </c>
      <c r="E108" s="1"/>
      <c r="F108" s="1"/>
      <c r="G108" s="1"/>
      <c r="H108" s="1">
        <v>1.4850000000000001</v>
      </c>
      <c r="I108" s="1">
        <v>2.149</v>
      </c>
      <c r="J108" s="1">
        <v>2.88</v>
      </c>
      <c r="L108" s="1">
        <v>3.3119999999999998</v>
      </c>
      <c r="M108" s="1">
        <v>4.032</v>
      </c>
      <c r="N108" s="1">
        <v>8.64</v>
      </c>
      <c r="O108" s="1">
        <v>9.36</v>
      </c>
      <c r="P108" s="1"/>
      <c r="Q108" s="1">
        <v>14.4</v>
      </c>
      <c r="R108" s="1">
        <v>30.96</v>
      </c>
      <c r="S108" s="1">
        <v>36.72</v>
      </c>
      <c r="T108" s="1"/>
      <c r="U108" s="1">
        <v>69.84</v>
      </c>
      <c r="V108" s="1"/>
      <c r="W108" s="1">
        <v>138.24</v>
      </c>
      <c r="X108" s="1">
        <v>195.84</v>
      </c>
      <c r="Y108" s="1"/>
      <c r="Z108" s="1"/>
      <c r="AA108" s="1"/>
      <c r="AB108" s="1"/>
      <c r="AC108" s="1"/>
      <c r="AD108" s="1"/>
      <c r="AE108" s="1"/>
      <c r="AF108" s="22" t="s">
        <v>97</v>
      </c>
      <c r="AG108" s="22" t="s">
        <v>97</v>
      </c>
      <c r="AH108" s="22" t="s">
        <v>97</v>
      </c>
      <c r="AI108" s="22" t="s">
        <v>97</v>
      </c>
      <c r="AJ108" s="22" t="s">
        <v>97</v>
      </c>
      <c r="AK108" s="22" t="s">
        <v>97</v>
      </c>
      <c r="AL108" s="22" t="s">
        <v>97</v>
      </c>
      <c r="AM108" s="22" t="s">
        <v>97</v>
      </c>
      <c r="AN108" s="22" t="s">
        <v>97</v>
      </c>
      <c r="AO108" s="22" t="s">
        <v>97</v>
      </c>
      <c r="AP108" s="22" t="s">
        <v>97</v>
      </c>
      <c r="AQ108" s="22" t="s">
        <v>97</v>
      </c>
      <c r="AR108" s="22" t="s">
        <v>97</v>
      </c>
      <c r="AS108" s="19" t="s">
        <v>49</v>
      </c>
      <c r="AT108" s="1"/>
      <c r="AU108" s="1"/>
      <c r="AV108" s="1"/>
      <c r="AW108" s="1"/>
      <c r="AX108" s="1"/>
    </row>
    <row r="109" spans="1:50" outlineLevel="1">
      <c r="A109" s="10" t="s">
        <v>102</v>
      </c>
      <c r="B109" s="10" t="s">
        <v>42</v>
      </c>
      <c r="C109" s="10" t="s">
        <v>51</v>
      </c>
      <c r="D109" s="10" t="s">
        <v>93</v>
      </c>
      <c r="E109" s="18"/>
      <c r="F109" s="18"/>
      <c r="G109" s="18"/>
      <c r="H109" s="59">
        <f t="shared" ref="H109:X109" si="4">H101*20</f>
        <v>7.6400000000000006</v>
      </c>
      <c r="I109" s="59">
        <f t="shared" si="4"/>
        <v>7.6400000000000006</v>
      </c>
      <c r="J109" s="59">
        <f t="shared" si="4"/>
        <v>8.18</v>
      </c>
      <c r="L109" s="59">
        <f t="shared" si="4"/>
        <v>8.84</v>
      </c>
      <c r="M109" s="59">
        <f t="shared" si="4"/>
        <v>12.32</v>
      </c>
      <c r="N109" s="59">
        <f t="shared" si="4"/>
        <v>19.3</v>
      </c>
      <c r="O109" s="59">
        <f t="shared" si="4"/>
        <v>24.26</v>
      </c>
      <c r="P109" s="18"/>
      <c r="Q109" s="59">
        <f t="shared" si="4"/>
        <v>34.840000000000003</v>
      </c>
      <c r="R109" s="59">
        <f t="shared" si="4"/>
        <v>50.38</v>
      </c>
      <c r="S109" s="59">
        <f t="shared" si="4"/>
        <v>75.36</v>
      </c>
      <c r="T109" s="18"/>
      <c r="U109" s="59">
        <f t="shared" si="4"/>
        <v>142.72</v>
      </c>
      <c r="V109" s="18"/>
      <c r="W109" s="59">
        <f t="shared" si="4"/>
        <v>243.48</v>
      </c>
      <c r="X109" s="59">
        <f t="shared" si="4"/>
        <v>385.12</v>
      </c>
      <c r="Y109" s="1"/>
      <c r="Z109" s="1"/>
      <c r="AA109" s="1"/>
      <c r="AB109" s="1"/>
      <c r="AC109" s="22" t="s">
        <v>97</v>
      </c>
      <c r="AD109" s="22" t="s">
        <v>97</v>
      </c>
      <c r="AE109" s="22" t="s">
        <v>97</v>
      </c>
      <c r="AF109" s="22" t="s">
        <v>97</v>
      </c>
      <c r="AG109" s="22" t="s">
        <v>97</v>
      </c>
      <c r="AH109" s="22" t="s">
        <v>97</v>
      </c>
      <c r="AI109" s="22" t="s">
        <v>97</v>
      </c>
      <c r="AJ109" s="22" t="s">
        <v>97</v>
      </c>
      <c r="AK109" s="22" t="s">
        <v>97</v>
      </c>
      <c r="AL109" s="22" t="s">
        <v>97</v>
      </c>
      <c r="AM109" s="22" t="s">
        <v>97</v>
      </c>
      <c r="AN109" s="22" t="s">
        <v>97</v>
      </c>
      <c r="AO109" s="22" t="s">
        <v>97</v>
      </c>
      <c r="AP109" s="22" t="s">
        <v>97</v>
      </c>
      <c r="AQ109" s="22" t="s">
        <v>97</v>
      </c>
      <c r="AR109" s="22" t="s">
        <v>97</v>
      </c>
      <c r="AS109" s="19" t="s">
        <v>49</v>
      </c>
      <c r="AT109" s="1"/>
      <c r="AU109" s="1"/>
      <c r="AV109" s="1"/>
      <c r="AW109" s="1"/>
      <c r="AX109" s="1"/>
    </row>
    <row r="110" spans="1:50" outlineLevel="1">
      <c r="A110" s="10" t="s">
        <v>102</v>
      </c>
      <c r="B110" s="10" t="s">
        <v>42</v>
      </c>
      <c r="C110" s="10" t="s">
        <v>52</v>
      </c>
      <c r="D110" s="10" t="s">
        <v>94</v>
      </c>
      <c r="E110" s="18"/>
      <c r="F110" s="18"/>
      <c r="G110" s="18"/>
      <c r="H110" s="18"/>
      <c r="I110" s="18"/>
      <c r="J110" s="18"/>
      <c r="L110" s="18"/>
      <c r="M110" s="18"/>
      <c r="N110" s="18"/>
      <c r="O110" s="18"/>
      <c r="P110" s="18"/>
      <c r="Q110" s="18"/>
      <c r="R110" s="18"/>
      <c r="S110" s="18"/>
      <c r="T110" s="23" t="s">
        <v>97</v>
      </c>
      <c r="U110" s="18"/>
      <c r="V110" s="23" t="s">
        <v>97</v>
      </c>
      <c r="W110" s="18"/>
      <c r="X110" s="18"/>
      <c r="Y110" s="1"/>
      <c r="Z110" s="1"/>
      <c r="AA110" s="1"/>
      <c r="AB110" s="1"/>
      <c r="AC110" s="22" t="s">
        <v>97</v>
      </c>
      <c r="AD110" s="22" t="s">
        <v>97</v>
      </c>
      <c r="AE110" s="22" t="s">
        <v>97</v>
      </c>
      <c r="AF110" s="22" t="s">
        <v>97</v>
      </c>
      <c r="AG110" s="22" t="s">
        <v>97</v>
      </c>
      <c r="AH110" s="22" t="s">
        <v>97</v>
      </c>
      <c r="AI110" s="22" t="s">
        <v>97</v>
      </c>
      <c r="AJ110" s="22" t="s">
        <v>97</v>
      </c>
      <c r="AK110" s="22" t="s">
        <v>97</v>
      </c>
      <c r="AL110" s="22" t="s">
        <v>97</v>
      </c>
      <c r="AM110" s="22" t="s">
        <v>97</v>
      </c>
      <c r="AN110" s="22" t="s">
        <v>97</v>
      </c>
      <c r="AO110" s="22" t="s">
        <v>97</v>
      </c>
      <c r="AP110" s="22" t="s">
        <v>97</v>
      </c>
      <c r="AQ110" s="22" t="s">
        <v>97</v>
      </c>
      <c r="AR110" s="22" t="s">
        <v>97</v>
      </c>
      <c r="AS110" s="19" t="s">
        <v>49</v>
      </c>
      <c r="AT110" s="1"/>
      <c r="AU110" s="1"/>
      <c r="AV110" s="1"/>
      <c r="AW110" s="1"/>
      <c r="AX110" s="1"/>
    </row>
    <row r="111" spans="1:50" outlineLevel="1">
      <c r="A111" s="10" t="s">
        <v>102</v>
      </c>
      <c r="B111" s="10" t="s">
        <v>42</v>
      </c>
      <c r="C111" s="10" t="s">
        <v>90</v>
      </c>
      <c r="D111" s="10" t="s">
        <v>88</v>
      </c>
      <c r="E111" s="18"/>
      <c r="F111" s="18"/>
      <c r="G111" s="18"/>
      <c r="H111" s="18"/>
      <c r="I111" s="18"/>
      <c r="J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"/>
      <c r="Z111" s="1"/>
      <c r="AA111" s="1"/>
      <c r="AB111" s="1"/>
      <c r="AC111" s="22" t="s">
        <v>97</v>
      </c>
      <c r="AD111" s="22" t="s">
        <v>97</v>
      </c>
      <c r="AE111" s="22" t="s">
        <v>97</v>
      </c>
      <c r="AF111" s="22" t="s">
        <v>97</v>
      </c>
      <c r="AG111" s="22" t="s">
        <v>97</v>
      </c>
      <c r="AH111" s="22" t="s">
        <v>97</v>
      </c>
      <c r="AI111" s="22" t="s">
        <v>97</v>
      </c>
      <c r="AJ111" s="22" t="s">
        <v>97</v>
      </c>
      <c r="AK111" s="22" t="s">
        <v>97</v>
      </c>
      <c r="AL111" s="22" t="s">
        <v>97</v>
      </c>
      <c r="AM111" s="22" t="s">
        <v>97</v>
      </c>
      <c r="AN111" s="22" t="s">
        <v>97</v>
      </c>
      <c r="AO111" s="22" t="s">
        <v>97</v>
      </c>
      <c r="AP111" s="22" t="s">
        <v>97</v>
      </c>
      <c r="AQ111" s="22" t="s">
        <v>97</v>
      </c>
      <c r="AR111" s="22" t="s">
        <v>97</v>
      </c>
      <c r="AS111" s="19" t="s">
        <v>49</v>
      </c>
      <c r="AT111" s="1"/>
      <c r="AU111" s="1"/>
      <c r="AV111" s="1"/>
      <c r="AW111" s="1"/>
      <c r="AX111" s="1"/>
    </row>
    <row r="112" spans="1:50" outlineLevel="1">
      <c r="A112" s="10" t="s">
        <v>102</v>
      </c>
      <c r="B112" s="10" t="s">
        <v>42</v>
      </c>
      <c r="C112" s="10" t="s">
        <v>91</v>
      </c>
      <c r="D112" s="10" t="s">
        <v>89</v>
      </c>
      <c r="E112" s="18"/>
      <c r="F112" s="18"/>
      <c r="G112" s="18"/>
      <c r="H112" s="18"/>
      <c r="I112" s="18"/>
      <c r="J112" s="18"/>
      <c r="L112" s="18"/>
      <c r="M112" s="18"/>
      <c r="N112" s="18"/>
      <c r="O112" s="18"/>
      <c r="P112" s="18"/>
      <c r="Q112" s="18"/>
      <c r="R112" s="18"/>
      <c r="S112" s="18"/>
      <c r="T112" s="23" t="s">
        <v>97</v>
      </c>
      <c r="U112" s="18"/>
      <c r="V112" s="23" t="s">
        <v>97</v>
      </c>
      <c r="W112" s="18"/>
      <c r="X112" s="18"/>
      <c r="Y112" s="1"/>
      <c r="Z112" s="1"/>
      <c r="AA112" s="1"/>
      <c r="AB112" s="1"/>
      <c r="AC112" s="22" t="s">
        <v>97</v>
      </c>
      <c r="AD112" s="22" t="s">
        <v>97</v>
      </c>
      <c r="AE112" s="22" t="s">
        <v>97</v>
      </c>
      <c r="AF112" s="22" t="s">
        <v>97</v>
      </c>
      <c r="AG112" s="22" t="s">
        <v>97</v>
      </c>
      <c r="AH112" s="22" t="s">
        <v>97</v>
      </c>
      <c r="AI112" s="22" t="s">
        <v>97</v>
      </c>
      <c r="AJ112" s="22" t="s">
        <v>97</v>
      </c>
      <c r="AK112" s="22" t="s">
        <v>97</v>
      </c>
      <c r="AL112" s="22" t="s">
        <v>97</v>
      </c>
      <c r="AM112" s="22" t="s">
        <v>97</v>
      </c>
      <c r="AN112" s="22" t="s">
        <v>97</v>
      </c>
      <c r="AO112" s="22" t="s">
        <v>97</v>
      </c>
      <c r="AP112" s="22" t="s">
        <v>97</v>
      </c>
      <c r="AQ112" s="22" t="s">
        <v>97</v>
      </c>
      <c r="AR112" s="22" t="s">
        <v>97</v>
      </c>
      <c r="AS112" s="19" t="s">
        <v>49</v>
      </c>
      <c r="AT112" s="1"/>
      <c r="AU112" s="1"/>
      <c r="AV112" s="1"/>
      <c r="AW112" s="1"/>
      <c r="AX112" s="1"/>
    </row>
    <row r="113" spans="1:50" outlineLevel="1">
      <c r="A113" s="10" t="s">
        <v>102</v>
      </c>
      <c r="B113" s="10" t="s">
        <v>42</v>
      </c>
      <c r="C113" s="10" t="s">
        <v>95</v>
      </c>
      <c r="D113" s="10" t="s">
        <v>96</v>
      </c>
      <c r="E113" s="18"/>
      <c r="F113" s="18"/>
      <c r="G113" s="18"/>
      <c r="H113" s="18"/>
      <c r="I113" s="18"/>
      <c r="J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"/>
      <c r="Z113" s="1"/>
      <c r="AA113" s="1"/>
      <c r="AB113" s="1"/>
      <c r="AC113" s="22" t="s">
        <v>97</v>
      </c>
      <c r="AD113" s="22" t="s">
        <v>97</v>
      </c>
      <c r="AE113" s="22" t="s">
        <v>97</v>
      </c>
      <c r="AF113" s="22" t="s">
        <v>97</v>
      </c>
      <c r="AG113" s="22" t="s">
        <v>97</v>
      </c>
      <c r="AH113" s="22" t="s">
        <v>97</v>
      </c>
      <c r="AI113" s="22" t="s">
        <v>97</v>
      </c>
      <c r="AJ113" s="22" t="s">
        <v>97</v>
      </c>
      <c r="AK113" s="22" t="s">
        <v>97</v>
      </c>
      <c r="AL113" s="22" t="s">
        <v>97</v>
      </c>
      <c r="AM113" s="22" t="s">
        <v>97</v>
      </c>
      <c r="AN113" s="22" t="s">
        <v>97</v>
      </c>
      <c r="AO113" s="22" t="s">
        <v>97</v>
      </c>
      <c r="AP113" s="22" t="s">
        <v>97</v>
      </c>
      <c r="AQ113" s="22" t="s">
        <v>97</v>
      </c>
      <c r="AR113" s="22" t="s">
        <v>97</v>
      </c>
      <c r="AS113" s="19" t="s">
        <v>49</v>
      </c>
      <c r="AT113" s="1"/>
      <c r="AU113" s="1"/>
      <c r="AV113" s="1"/>
      <c r="AW113" s="1"/>
      <c r="AX113" s="1"/>
    </row>
    <row r="114" spans="1:50" outlineLevel="1">
      <c r="A114" s="10" t="s">
        <v>102</v>
      </c>
      <c r="B114" s="10" t="s">
        <v>42</v>
      </c>
      <c r="C114" s="10" t="s">
        <v>129</v>
      </c>
      <c r="D114" s="10" t="s">
        <v>134</v>
      </c>
      <c r="E114" s="18"/>
      <c r="F114" s="18"/>
      <c r="G114" s="18"/>
      <c r="H114" s="18"/>
      <c r="I114" s="18"/>
      <c r="J114" s="18"/>
      <c r="L114" s="18"/>
      <c r="M114" s="18"/>
      <c r="N114" s="18"/>
      <c r="O114" s="18"/>
      <c r="P114" s="18"/>
      <c r="Q114" s="18"/>
      <c r="R114" s="18"/>
      <c r="S114" s="18"/>
      <c r="T114" s="23" t="s">
        <v>97</v>
      </c>
      <c r="U114" s="18"/>
      <c r="V114" s="23" t="s">
        <v>97</v>
      </c>
      <c r="W114" s="18"/>
      <c r="X114" s="18"/>
      <c r="Y114" s="1"/>
      <c r="Z114" s="1"/>
      <c r="AA114" s="1"/>
      <c r="AB114" s="1"/>
      <c r="AC114" s="22" t="s">
        <v>97</v>
      </c>
      <c r="AD114" s="22" t="s">
        <v>97</v>
      </c>
      <c r="AE114" s="22" t="s">
        <v>97</v>
      </c>
      <c r="AF114" s="22" t="s">
        <v>97</v>
      </c>
      <c r="AG114" s="22" t="s">
        <v>97</v>
      </c>
      <c r="AH114" s="22" t="s">
        <v>97</v>
      </c>
      <c r="AI114" s="22" t="s">
        <v>97</v>
      </c>
      <c r="AJ114" s="22" t="s">
        <v>97</v>
      </c>
      <c r="AK114" s="22" t="s">
        <v>97</v>
      </c>
      <c r="AL114" s="22" t="s">
        <v>97</v>
      </c>
      <c r="AM114" s="22" t="s">
        <v>97</v>
      </c>
      <c r="AN114" s="22" t="s">
        <v>97</v>
      </c>
      <c r="AO114" s="22" t="s">
        <v>97</v>
      </c>
      <c r="AP114" s="22" t="s">
        <v>97</v>
      </c>
      <c r="AQ114" s="22" t="s">
        <v>97</v>
      </c>
      <c r="AR114" s="22" t="s">
        <v>97</v>
      </c>
      <c r="AS114" s="19" t="s">
        <v>48</v>
      </c>
      <c r="AT114" s="1"/>
      <c r="AU114" s="1"/>
      <c r="AV114" s="1"/>
      <c r="AW114" s="1"/>
      <c r="AX114" s="1"/>
    </row>
    <row r="115" spans="1:50" outlineLevel="1">
      <c r="A115" s="10" t="s">
        <v>102</v>
      </c>
      <c r="B115" s="10" t="s">
        <v>42</v>
      </c>
      <c r="C115" s="24" t="s">
        <v>135</v>
      </c>
      <c r="D115" s="10" t="s">
        <v>92</v>
      </c>
      <c r="E115" s="18"/>
      <c r="F115" s="18"/>
      <c r="G115" s="18"/>
      <c r="H115" s="18"/>
      <c r="I115" s="18"/>
      <c r="J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9" t="s">
        <v>49</v>
      </c>
      <c r="AT115" s="1"/>
      <c r="AU115" s="1"/>
      <c r="AV115" s="1"/>
      <c r="AW115" s="1"/>
      <c r="AX115" s="1"/>
    </row>
    <row r="116" spans="1:50" outlineLevel="1">
      <c r="A116" s="20" t="s">
        <v>254</v>
      </c>
      <c r="B116" s="20" t="s">
        <v>246</v>
      </c>
      <c r="C116" s="20" t="s">
        <v>255</v>
      </c>
      <c r="D116" s="20" t="s">
        <v>48</v>
      </c>
      <c r="E116" s="19" t="s">
        <v>48</v>
      </c>
      <c r="F116" s="19" t="s">
        <v>48</v>
      </c>
      <c r="G116" s="19" t="s">
        <v>48</v>
      </c>
      <c r="H116" s="19" t="s">
        <v>48</v>
      </c>
      <c r="I116" s="19" t="s">
        <v>48</v>
      </c>
      <c r="J116" s="19" t="s">
        <v>48</v>
      </c>
      <c r="K116" s="21" t="s">
        <v>48</v>
      </c>
      <c r="L116" s="19" t="s">
        <v>48</v>
      </c>
      <c r="M116" s="19" t="s">
        <v>48</v>
      </c>
      <c r="N116" s="19" t="s">
        <v>48</v>
      </c>
      <c r="O116" s="19" t="s">
        <v>48</v>
      </c>
      <c r="P116" s="19" t="s">
        <v>48</v>
      </c>
      <c r="Q116" s="19" t="s">
        <v>48</v>
      </c>
      <c r="R116" s="19" t="s">
        <v>48</v>
      </c>
      <c r="S116" s="19" t="s">
        <v>48</v>
      </c>
      <c r="T116" s="19" t="s">
        <v>48</v>
      </c>
      <c r="U116" s="19" t="s">
        <v>48</v>
      </c>
      <c r="V116" s="19"/>
      <c r="W116" s="19" t="s">
        <v>48</v>
      </c>
      <c r="X116" s="19" t="s">
        <v>48</v>
      </c>
      <c r="Y116" s="19" t="s">
        <v>48</v>
      </c>
      <c r="Z116" s="19" t="s">
        <v>48</v>
      </c>
      <c r="AA116" s="19" t="s">
        <v>48</v>
      </c>
      <c r="AB116" s="19" t="s">
        <v>48</v>
      </c>
      <c r="AC116" s="19" t="s">
        <v>48</v>
      </c>
      <c r="AD116" s="19" t="s">
        <v>48</v>
      </c>
      <c r="AE116" s="19" t="s">
        <v>48</v>
      </c>
      <c r="AF116" s="19" t="s">
        <v>48</v>
      </c>
      <c r="AG116" s="19" t="s">
        <v>48</v>
      </c>
      <c r="AH116" s="19" t="s">
        <v>48</v>
      </c>
      <c r="AI116" s="19" t="s">
        <v>48</v>
      </c>
      <c r="AJ116" s="19" t="s">
        <v>48</v>
      </c>
      <c r="AK116" s="19" t="s">
        <v>48</v>
      </c>
      <c r="AL116" s="19" t="s">
        <v>48</v>
      </c>
      <c r="AM116" s="19" t="s">
        <v>48</v>
      </c>
      <c r="AN116" s="19" t="s">
        <v>48</v>
      </c>
      <c r="AO116" s="19" t="s">
        <v>48</v>
      </c>
      <c r="AP116" s="19" t="s">
        <v>48</v>
      </c>
      <c r="AQ116" s="19" t="s">
        <v>48</v>
      </c>
      <c r="AR116" s="19" t="s">
        <v>48</v>
      </c>
      <c r="AS116" s="19" t="s">
        <v>49</v>
      </c>
      <c r="AT116" s="1"/>
      <c r="AU116" s="1"/>
      <c r="AV116" s="1"/>
      <c r="AW116" s="1"/>
      <c r="AX116" s="1"/>
    </row>
    <row r="117" spans="1:50" outlineLevel="1">
      <c r="A117" s="10" t="s">
        <v>198</v>
      </c>
      <c r="B117" s="10" t="s">
        <v>196</v>
      </c>
      <c r="C117" s="10" t="s">
        <v>1</v>
      </c>
      <c r="D117" s="10" t="s">
        <v>53</v>
      </c>
      <c r="E117" s="18"/>
      <c r="F117" s="18"/>
      <c r="G117" s="18"/>
      <c r="H117" s="18"/>
      <c r="I117" s="18"/>
      <c r="J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9" t="s">
        <v>49</v>
      </c>
      <c r="AT117" s="1"/>
      <c r="AU117" s="1"/>
      <c r="AV117" s="1"/>
      <c r="AW117" s="1"/>
      <c r="AX117" s="1"/>
    </row>
    <row r="118" spans="1:50" outlineLevel="1">
      <c r="A118" s="10" t="s">
        <v>198</v>
      </c>
      <c r="B118" s="10" t="s">
        <v>196</v>
      </c>
      <c r="C118" s="10" t="s">
        <v>156</v>
      </c>
      <c r="D118" s="10" t="s">
        <v>86</v>
      </c>
      <c r="E118" s="18"/>
      <c r="F118" s="18"/>
      <c r="G118" s="18"/>
      <c r="H118" s="18"/>
      <c r="I118" s="18"/>
      <c r="J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9" t="s">
        <v>49</v>
      </c>
      <c r="AT118" s="1"/>
      <c r="AU118" s="1"/>
      <c r="AV118" s="1"/>
      <c r="AW118" s="1"/>
      <c r="AX118" s="1"/>
    </row>
    <row r="119" spans="1:50" outlineLevel="1">
      <c r="A119" s="10" t="s">
        <v>198</v>
      </c>
      <c r="B119" s="10" t="s">
        <v>196</v>
      </c>
      <c r="C119" s="10" t="s">
        <v>14</v>
      </c>
      <c r="D119" s="10" t="s">
        <v>54</v>
      </c>
      <c r="E119" s="18"/>
      <c r="F119" s="18"/>
      <c r="G119" s="18"/>
      <c r="H119" s="18"/>
      <c r="I119" s="18"/>
      <c r="J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9" t="s">
        <v>49</v>
      </c>
      <c r="AT119" s="1"/>
      <c r="AU119" s="1"/>
      <c r="AV119" s="1"/>
      <c r="AW119" s="1"/>
      <c r="AX119" s="1"/>
    </row>
    <row r="120" spans="1:50" outlineLevel="1">
      <c r="A120" s="10" t="s">
        <v>198</v>
      </c>
      <c r="B120" s="10" t="s">
        <v>196</v>
      </c>
      <c r="C120" s="10" t="s">
        <v>19</v>
      </c>
      <c r="D120" s="10" t="s">
        <v>55</v>
      </c>
      <c r="E120" s="18"/>
      <c r="F120" s="18"/>
      <c r="G120" s="18"/>
      <c r="H120" s="18"/>
      <c r="I120" s="18"/>
      <c r="J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9" t="s">
        <v>49</v>
      </c>
      <c r="AT120" s="1"/>
      <c r="AU120" s="1"/>
      <c r="AV120" s="1"/>
      <c r="AW120" s="1"/>
      <c r="AX120" s="1"/>
    </row>
    <row r="121" spans="1:50" outlineLevel="1">
      <c r="A121" s="10" t="s">
        <v>198</v>
      </c>
      <c r="B121" s="10" t="s">
        <v>196</v>
      </c>
      <c r="C121" s="10" t="s">
        <v>23</v>
      </c>
      <c r="D121" s="10" t="s">
        <v>67</v>
      </c>
      <c r="E121" s="18"/>
      <c r="F121" s="18"/>
      <c r="G121" s="18"/>
      <c r="H121" s="18"/>
      <c r="I121" s="18"/>
      <c r="J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9" t="s">
        <v>49</v>
      </c>
      <c r="AT121" s="1"/>
      <c r="AU121" s="1"/>
      <c r="AV121" s="1"/>
      <c r="AW121" s="1"/>
      <c r="AX121" s="1"/>
    </row>
    <row r="122" spans="1:50" outlineLevel="1">
      <c r="A122" s="10" t="s">
        <v>198</v>
      </c>
      <c r="B122" s="10" t="s">
        <v>196</v>
      </c>
      <c r="C122" s="10" t="s">
        <v>28</v>
      </c>
      <c r="D122" s="10" t="s">
        <v>73</v>
      </c>
      <c r="E122" s="18"/>
      <c r="F122" s="18"/>
      <c r="G122" s="18"/>
      <c r="H122" s="18"/>
      <c r="I122" s="18"/>
      <c r="J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9" t="s">
        <v>49</v>
      </c>
      <c r="AT122" s="1"/>
      <c r="AU122" s="1"/>
      <c r="AV122" s="1"/>
      <c r="AW122" s="1"/>
      <c r="AX122" s="1"/>
    </row>
    <row r="123" spans="1:50" outlineLevel="1">
      <c r="A123" s="10" t="s">
        <v>198</v>
      </c>
      <c r="B123" s="10" t="s">
        <v>196</v>
      </c>
      <c r="C123" s="10" t="s">
        <v>30</v>
      </c>
      <c r="D123" s="10" t="s">
        <v>58</v>
      </c>
      <c r="E123" s="18"/>
      <c r="F123" s="18"/>
      <c r="G123" s="18"/>
      <c r="H123" s="18"/>
      <c r="I123" s="18"/>
      <c r="J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9" t="s">
        <v>49</v>
      </c>
      <c r="AT123" s="1"/>
      <c r="AU123" s="1"/>
      <c r="AV123" s="1"/>
      <c r="AW123" s="1"/>
      <c r="AX123" s="1"/>
    </row>
    <row r="124" spans="1:50" outlineLevel="1">
      <c r="A124" s="10" t="s">
        <v>198</v>
      </c>
      <c r="B124" s="10" t="s">
        <v>196</v>
      </c>
      <c r="C124" s="10" t="s">
        <v>33</v>
      </c>
      <c r="D124" s="10" t="s">
        <v>59</v>
      </c>
      <c r="E124" s="18"/>
      <c r="F124" s="18"/>
      <c r="G124" s="18"/>
      <c r="H124" s="18"/>
      <c r="I124" s="18"/>
      <c r="J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9" t="s">
        <v>49</v>
      </c>
      <c r="AT124" s="1"/>
      <c r="AU124" s="1"/>
      <c r="AV124" s="1"/>
      <c r="AW124" s="1"/>
      <c r="AX124" s="1"/>
    </row>
    <row r="125" spans="1:50" outlineLevel="1">
      <c r="A125" s="10" t="s">
        <v>198</v>
      </c>
      <c r="B125" s="10" t="s">
        <v>196</v>
      </c>
      <c r="C125" s="10" t="s">
        <v>164</v>
      </c>
      <c r="D125" s="10" t="s">
        <v>93</v>
      </c>
      <c r="E125" s="18"/>
      <c r="F125" s="18"/>
      <c r="G125" s="18"/>
      <c r="H125" s="18"/>
      <c r="I125" s="18"/>
      <c r="J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9" t="s">
        <v>49</v>
      </c>
      <c r="AT125" s="1"/>
      <c r="AU125" s="1"/>
      <c r="AV125" s="1"/>
      <c r="AW125" s="1"/>
      <c r="AX125" s="1"/>
    </row>
    <row r="126" spans="1:50" outlineLevel="1">
      <c r="A126" s="10" t="s">
        <v>198</v>
      </c>
      <c r="B126" s="10" t="s">
        <v>196</v>
      </c>
      <c r="C126" s="10" t="s">
        <v>166</v>
      </c>
      <c r="D126" s="10" t="s">
        <v>94</v>
      </c>
      <c r="E126" s="18"/>
      <c r="F126" s="18"/>
      <c r="G126" s="18"/>
      <c r="H126" s="18"/>
      <c r="I126" s="18"/>
      <c r="J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9" t="s">
        <v>49</v>
      </c>
      <c r="AT126" s="1"/>
      <c r="AU126" s="1"/>
      <c r="AV126" s="1"/>
      <c r="AW126" s="1"/>
      <c r="AX126" s="1"/>
    </row>
    <row r="127" spans="1:50" outlineLevel="1">
      <c r="A127" s="10" t="s">
        <v>198</v>
      </c>
      <c r="B127" s="10" t="s">
        <v>196</v>
      </c>
      <c r="C127" s="10" t="s">
        <v>168</v>
      </c>
      <c r="D127" s="10" t="s">
        <v>88</v>
      </c>
      <c r="E127" s="18"/>
      <c r="F127" s="18"/>
      <c r="G127" s="18"/>
      <c r="H127" s="18"/>
      <c r="I127" s="18"/>
      <c r="J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9" t="s">
        <v>49</v>
      </c>
      <c r="AT127" s="1"/>
      <c r="AU127" s="1"/>
      <c r="AV127" s="1"/>
      <c r="AW127" s="1"/>
      <c r="AX127" s="1"/>
    </row>
    <row r="128" spans="1:50" outlineLevel="1">
      <c r="A128" s="10" t="s">
        <v>198</v>
      </c>
      <c r="B128" s="10" t="s">
        <v>196</v>
      </c>
      <c r="C128" s="10" t="s">
        <v>170</v>
      </c>
      <c r="D128" s="10" t="s">
        <v>89</v>
      </c>
      <c r="E128" s="18"/>
      <c r="F128" s="18"/>
      <c r="G128" s="18"/>
      <c r="H128" s="18"/>
      <c r="I128" s="18"/>
      <c r="J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9" t="s">
        <v>49</v>
      </c>
      <c r="AT128" s="1"/>
      <c r="AU128" s="1"/>
      <c r="AV128" s="1"/>
      <c r="AW128" s="1"/>
      <c r="AX128" s="1"/>
    </row>
    <row r="129" spans="1:50" outlineLevel="1">
      <c r="A129" s="10" t="s">
        <v>198</v>
      </c>
      <c r="B129" s="10" t="s">
        <v>196</v>
      </c>
      <c r="C129" s="10" t="s">
        <v>197</v>
      </c>
      <c r="D129" s="10" t="s">
        <v>96</v>
      </c>
      <c r="E129" s="18"/>
      <c r="F129" s="18"/>
      <c r="G129" s="18"/>
      <c r="H129" s="18"/>
      <c r="I129" s="18"/>
      <c r="J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9" t="s">
        <v>49</v>
      </c>
      <c r="AT129" s="1"/>
      <c r="AU129" s="1"/>
      <c r="AV129" s="1"/>
      <c r="AW129" s="1"/>
      <c r="AX129" s="1"/>
    </row>
    <row r="130" spans="1:50" outlineLevel="1">
      <c r="A130" s="10" t="s">
        <v>198</v>
      </c>
      <c r="B130" s="10" t="s">
        <v>196</v>
      </c>
      <c r="C130" s="10" t="s">
        <v>172</v>
      </c>
      <c r="D130" s="10" t="s">
        <v>134</v>
      </c>
      <c r="E130" s="18"/>
      <c r="F130" s="18"/>
      <c r="G130" s="18"/>
      <c r="H130" s="18"/>
      <c r="I130" s="18"/>
      <c r="J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9" t="s">
        <v>49</v>
      </c>
      <c r="AT130" s="1"/>
      <c r="AU130" s="1"/>
      <c r="AV130" s="1"/>
      <c r="AW130" s="1"/>
      <c r="AX130" s="1"/>
    </row>
    <row r="131" spans="1:50" outlineLevel="1">
      <c r="A131" s="10" t="s">
        <v>198</v>
      </c>
      <c r="B131" s="10" t="s">
        <v>196</v>
      </c>
      <c r="C131" s="24" t="s">
        <v>135</v>
      </c>
      <c r="D131" s="10" t="s">
        <v>92</v>
      </c>
      <c r="E131" s="18"/>
      <c r="F131" s="18"/>
      <c r="G131" s="18"/>
      <c r="H131" s="18"/>
      <c r="I131" s="18"/>
      <c r="J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9" t="s">
        <v>49</v>
      </c>
      <c r="AT131" s="1"/>
      <c r="AU131" s="1"/>
      <c r="AV131" s="1"/>
      <c r="AW131" s="1"/>
      <c r="AX131" s="1"/>
    </row>
    <row r="132" spans="1:50" outlineLevel="1">
      <c r="A132" s="20" t="s">
        <v>246</v>
      </c>
      <c r="B132" s="20" t="s">
        <v>247</v>
      </c>
      <c r="C132" s="20" t="s">
        <v>256</v>
      </c>
      <c r="D132" s="20" t="s">
        <v>48</v>
      </c>
      <c r="E132" s="19" t="s">
        <v>48</v>
      </c>
      <c r="F132" s="19" t="s">
        <v>48</v>
      </c>
      <c r="G132" s="19" t="s">
        <v>48</v>
      </c>
      <c r="H132" s="19" t="s">
        <v>48</v>
      </c>
      <c r="I132" s="19" t="s">
        <v>48</v>
      </c>
      <c r="J132" s="19" t="s">
        <v>48</v>
      </c>
      <c r="K132" s="21" t="s">
        <v>48</v>
      </c>
      <c r="L132" s="19" t="s">
        <v>48</v>
      </c>
      <c r="M132" s="19" t="s">
        <v>48</v>
      </c>
      <c r="N132" s="19" t="s">
        <v>48</v>
      </c>
      <c r="O132" s="19" t="s">
        <v>48</v>
      </c>
      <c r="P132" s="19" t="s">
        <v>48</v>
      </c>
      <c r="Q132" s="19" t="s">
        <v>48</v>
      </c>
      <c r="R132" s="19" t="s">
        <v>48</v>
      </c>
      <c r="S132" s="19" t="s">
        <v>48</v>
      </c>
      <c r="T132" s="19" t="s">
        <v>48</v>
      </c>
      <c r="U132" s="19" t="s">
        <v>48</v>
      </c>
      <c r="V132" s="19"/>
      <c r="W132" s="19" t="s">
        <v>48</v>
      </c>
      <c r="X132" s="19" t="s">
        <v>48</v>
      </c>
      <c r="Y132" s="19" t="s">
        <v>48</v>
      </c>
      <c r="Z132" s="19" t="s">
        <v>48</v>
      </c>
      <c r="AA132" s="19" t="s">
        <v>48</v>
      </c>
      <c r="AB132" s="19" t="s">
        <v>48</v>
      </c>
      <c r="AC132" s="19" t="s">
        <v>48</v>
      </c>
      <c r="AD132" s="19" t="s">
        <v>48</v>
      </c>
      <c r="AE132" s="19" t="s">
        <v>48</v>
      </c>
      <c r="AF132" s="19" t="s">
        <v>48</v>
      </c>
      <c r="AG132" s="19" t="s">
        <v>48</v>
      </c>
      <c r="AH132" s="19" t="s">
        <v>48</v>
      </c>
      <c r="AI132" s="19" t="s">
        <v>48</v>
      </c>
      <c r="AJ132" s="19" t="s">
        <v>48</v>
      </c>
      <c r="AK132" s="19" t="s">
        <v>48</v>
      </c>
      <c r="AL132" s="19" t="s">
        <v>48</v>
      </c>
      <c r="AM132" s="19" t="s">
        <v>48</v>
      </c>
      <c r="AN132" s="19" t="s">
        <v>48</v>
      </c>
      <c r="AO132" s="19" t="s">
        <v>48</v>
      </c>
      <c r="AP132" s="19" t="s">
        <v>48</v>
      </c>
      <c r="AQ132" s="19" t="s">
        <v>48</v>
      </c>
      <c r="AR132" s="19" t="s">
        <v>48</v>
      </c>
      <c r="AS132" s="19" t="s">
        <v>49</v>
      </c>
      <c r="AT132" s="1"/>
      <c r="AU132" s="1"/>
      <c r="AV132" s="1"/>
      <c r="AW132" s="1"/>
      <c r="AX132" s="1"/>
    </row>
    <row r="133" spans="1:50" outlineLevel="1">
      <c r="A133" s="10" t="s">
        <v>103</v>
      </c>
      <c r="B133" s="10" t="s">
        <v>42</v>
      </c>
      <c r="C133" s="10" t="s">
        <v>1</v>
      </c>
      <c r="D133" s="10" t="s">
        <v>85</v>
      </c>
      <c r="E133" s="1"/>
      <c r="F133" s="1"/>
      <c r="G133" s="1"/>
      <c r="H133" s="1">
        <v>0.14099999999999999</v>
      </c>
      <c r="I133" s="1">
        <v>0.14099999999999999</v>
      </c>
      <c r="J133" s="1">
        <v>0.154</v>
      </c>
      <c r="L133" s="1">
        <v>0.161</v>
      </c>
      <c r="M133" s="1">
        <v>0.19400000000000001</v>
      </c>
      <c r="N133" s="1">
        <v>0.26800000000000002</v>
      </c>
      <c r="O133" s="1">
        <v>0.32200000000000001</v>
      </c>
      <c r="P133" s="1"/>
      <c r="Q133" s="1">
        <v>0.51600000000000001</v>
      </c>
      <c r="R133" s="1">
        <v>0.75</v>
      </c>
      <c r="S133" s="1">
        <v>1.04</v>
      </c>
      <c r="T133" s="1"/>
      <c r="U133" s="1">
        <v>1.762</v>
      </c>
      <c r="V133" s="1"/>
      <c r="W133" s="1">
        <v>2.8010000000000002</v>
      </c>
      <c r="X133" s="1">
        <v>4.4089999999999998</v>
      </c>
      <c r="Y133" s="1"/>
      <c r="Z133" s="1"/>
      <c r="AA133" s="1"/>
      <c r="AB133" s="5"/>
      <c r="AC133" s="22" t="s">
        <v>97</v>
      </c>
      <c r="AD133" s="22" t="s">
        <v>97</v>
      </c>
      <c r="AE133" s="22" t="s">
        <v>97</v>
      </c>
      <c r="AF133" s="22" t="s">
        <v>97</v>
      </c>
      <c r="AG133" s="22" t="s">
        <v>97</v>
      </c>
      <c r="AH133" s="22" t="s">
        <v>97</v>
      </c>
      <c r="AI133" s="22" t="s">
        <v>97</v>
      </c>
      <c r="AJ133" s="22" t="s">
        <v>97</v>
      </c>
      <c r="AK133" s="22" t="s">
        <v>97</v>
      </c>
      <c r="AL133" s="22" t="s">
        <v>97</v>
      </c>
      <c r="AM133" s="22" t="s">
        <v>97</v>
      </c>
      <c r="AN133" s="22" t="s">
        <v>97</v>
      </c>
      <c r="AO133" s="22" t="s">
        <v>97</v>
      </c>
      <c r="AP133" s="22" t="s">
        <v>97</v>
      </c>
      <c r="AQ133" s="22" t="s">
        <v>97</v>
      </c>
      <c r="AR133" s="22" t="s">
        <v>97</v>
      </c>
      <c r="AS133" s="19" t="s">
        <v>49</v>
      </c>
      <c r="AT133" s="1"/>
      <c r="AU133" s="1"/>
      <c r="AV133" s="1"/>
      <c r="AW133" s="1"/>
      <c r="AX133" s="1"/>
    </row>
    <row r="134" spans="1:50" outlineLevel="1">
      <c r="A134" s="10" t="s">
        <v>103</v>
      </c>
      <c r="B134" s="10" t="s">
        <v>42</v>
      </c>
      <c r="C134" s="10" t="s">
        <v>50</v>
      </c>
      <c r="D134" s="10" t="s">
        <v>87</v>
      </c>
      <c r="E134" s="1"/>
      <c r="F134" s="1"/>
      <c r="G134" s="1"/>
      <c r="H134" s="1">
        <v>0.154</v>
      </c>
      <c r="I134" s="1">
        <v>0.154</v>
      </c>
      <c r="J134" s="1">
        <v>0.16800000000000001</v>
      </c>
      <c r="L134" s="1">
        <v>0.19400000000000001</v>
      </c>
      <c r="M134" s="1">
        <v>0.24099999999999999</v>
      </c>
      <c r="N134" s="1">
        <v>0.34200000000000003</v>
      </c>
      <c r="O134" s="1">
        <v>0.41499999999999998</v>
      </c>
      <c r="P134" s="1"/>
      <c r="Q134" s="1">
        <v>0.66300000000000003</v>
      </c>
      <c r="R134" s="1">
        <v>0.96499999999999997</v>
      </c>
      <c r="S134" s="1">
        <v>1.353</v>
      </c>
      <c r="T134" s="1"/>
      <c r="U134" s="1">
        <v>2.2709999999999999</v>
      </c>
      <c r="V134" s="1"/>
      <c r="W134" s="1">
        <v>3.6379999999999999</v>
      </c>
      <c r="X134" s="1">
        <v>5.6280000000000001</v>
      </c>
      <c r="Y134" s="1"/>
      <c r="Z134" s="1"/>
      <c r="AA134" s="1"/>
      <c r="AB134" s="1"/>
      <c r="AC134" s="22" t="s">
        <v>97</v>
      </c>
      <c r="AD134" s="22" t="s">
        <v>97</v>
      </c>
      <c r="AE134" s="22" t="s">
        <v>97</v>
      </c>
      <c r="AF134" s="22" t="s">
        <v>97</v>
      </c>
      <c r="AG134" s="22" t="s">
        <v>97</v>
      </c>
      <c r="AH134" s="22" t="s">
        <v>97</v>
      </c>
      <c r="AI134" s="22" t="s">
        <v>97</v>
      </c>
      <c r="AJ134" s="22" t="s">
        <v>97</v>
      </c>
      <c r="AK134" s="22" t="s">
        <v>97</v>
      </c>
      <c r="AL134" s="22" t="s">
        <v>97</v>
      </c>
      <c r="AM134" s="22" t="s">
        <v>97</v>
      </c>
      <c r="AN134" s="22" t="s">
        <v>97</v>
      </c>
      <c r="AO134" s="22" t="s">
        <v>97</v>
      </c>
      <c r="AP134" s="22" t="s">
        <v>97</v>
      </c>
      <c r="AQ134" s="22" t="s">
        <v>97</v>
      </c>
      <c r="AR134" s="22" t="s">
        <v>97</v>
      </c>
      <c r="AS134" s="19" t="s">
        <v>49</v>
      </c>
      <c r="AT134" s="1"/>
      <c r="AU134" s="1"/>
      <c r="AV134" s="1"/>
      <c r="AW134" s="1"/>
      <c r="AX134" s="1"/>
    </row>
    <row r="135" spans="1:50" outlineLevel="1">
      <c r="A135" s="10" t="s">
        <v>103</v>
      </c>
      <c r="B135" s="10" t="s">
        <v>42</v>
      </c>
      <c r="C135" s="14" t="s">
        <v>14</v>
      </c>
      <c r="D135" s="10" t="s">
        <v>60</v>
      </c>
      <c r="E135" s="1"/>
      <c r="F135" s="1"/>
      <c r="G135" s="1"/>
      <c r="H135" s="1">
        <v>0.35299999999999998</v>
      </c>
      <c r="I135" s="1">
        <v>0.35299999999999998</v>
      </c>
      <c r="J135" s="1">
        <v>0.35899999999999999</v>
      </c>
      <c r="L135" s="1">
        <v>0.371</v>
      </c>
      <c r="M135" s="1">
        <v>0.56999999999999995</v>
      </c>
      <c r="N135" s="1">
        <v>0.69499999999999995</v>
      </c>
      <c r="O135" s="1">
        <v>0.91800000000000004</v>
      </c>
      <c r="P135" s="1"/>
      <c r="Q135" s="1">
        <v>1.43</v>
      </c>
      <c r="R135" s="1">
        <v>2.0859999999999999</v>
      </c>
      <c r="S135" s="1">
        <v>3.26</v>
      </c>
      <c r="T135" s="22" t="s">
        <v>97</v>
      </c>
      <c r="U135" s="1">
        <v>5.62</v>
      </c>
      <c r="V135" s="22" t="s">
        <v>97</v>
      </c>
      <c r="W135" s="1">
        <v>9.9290000000000003</v>
      </c>
      <c r="X135" s="1">
        <v>15.8</v>
      </c>
      <c r="Y135" s="1"/>
      <c r="Z135" s="1"/>
      <c r="AA135" s="1"/>
      <c r="AB135" s="1"/>
      <c r="AC135" s="22" t="s">
        <v>97</v>
      </c>
      <c r="AD135" s="22" t="s">
        <v>97</v>
      </c>
      <c r="AE135" s="22" t="s">
        <v>97</v>
      </c>
      <c r="AF135" s="22" t="s">
        <v>97</v>
      </c>
      <c r="AG135" s="22" t="s">
        <v>97</v>
      </c>
      <c r="AH135" s="22" t="s">
        <v>97</v>
      </c>
      <c r="AI135" s="22" t="s">
        <v>97</v>
      </c>
      <c r="AJ135" s="22" t="s">
        <v>97</v>
      </c>
      <c r="AK135" s="22" t="s">
        <v>97</v>
      </c>
      <c r="AL135" s="22" t="s">
        <v>97</v>
      </c>
      <c r="AM135" s="22" t="s">
        <v>97</v>
      </c>
      <c r="AN135" s="22" t="s">
        <v>97</v>
      </c>
      <c r="AO135" s="22" t="s">
        <v>97</v>
      </c>
      <c r="AP135" s="22" t="s">
        <v>97</v>
      </c>
      <c r="AQ135" s="22" t="s">
        <v>97</v>
      </c>
      <c r="AR135" s="22" t="s">
        <v>97</v>
      </c>
      <c r="AS135" s="19" t="s">
        <v>49</v>
      </c>
      <c r="AT135" s="1"/>
      <c r="AU135" s="1"/>
      <c r="AV135" s="1"/>
      <c r="AW135" s="1"/>
      <c r="AX135" s="1"/>
    </row>
    <row r="136" spans="1:50" outlineLevel="1">
      <c r="A136" s="10" t="s">
        <v>103</v>
      </c>
      <c r="B136" s="10" t="s">
        <v>42</v>
      </c>
      <c r="C136" s="14" t="s">
        <v>19</v>
      </c>
      <c r="D136" s="10" t="s">
        <v>64</v>
      </c>
      <c r="E136" s="1"/>
      <c r="F136" s="1"/>
      <c r="G136" s="1"/>
      <c r="H136" s="1">
        <v>0.251</v>
      </c>
      <c r="I136" s="1">
        <v>0.251</v>
      </c>
      <c r="J136" s="1">
        <v>0.26200000000000001</v>
      </c>
      <c r="L136" s="1">
        <v>0.28499999999999998</v>
      </c>
      <c r="M136" s="1">
        <v>0.34200000000000003</v>
      </c>
      <c r="N136" s="1">
        <v>0.496</v>
      </c>
      <c r="O136" s="1">
        <v>0.59899999999999998</v>
      </c>
      <c r="P136" s="1"/>
      <c r="Q136" s="1">
        <v>0.91200000000000003</v>
      </c>
      <c r="R136" s="1">
        <v>1.345</v>
      </c>
      <c r="S136" s="1">
        <v>1.881</v>
      </c>
      <c r="T136" s="22" t="s">
        <v>97</v>
      </c>
      <c r="U136" s="1">
        <v>3.1459999999999999</v>
      </c>
      <c r="V136" s="22" t="s">
        <v>97</v>
      </c>
      <c r="W136" s="1">
        <v>6.2530000000000001</v>
      </c>
      <c r="X136" s="1">
        <v>9.6050000000000004</v>
      </c>
      <c r="Y136" s="1"/>
      <c r="Z136" s="1"/>
      <c r="AA136" s="1"/>
      <c r="AB136" s="1"/>
      <c r="AC136" s="22" t="s">
        <v>97</v>
      </c>
      <c r="AD136" s="22" t="s">
        <v>97</v>
      </c>
      <c r="AE136" s="22" t="s">
        <v>97</v>
      </c>
      <c r="AF136" s="22" t="s">
        <v>97</v>
      </c>
      <c r="AG136" s="22" t="s">
        <v>97</v>
      </c>
      <c r="AH136" s="22" t="s">
        <v>97</v>
      </c>
      <c r="AI136" s="22" t="s">
        <v>97</v>
      </c>
      <c r="AJ136" s="22" t="s">
        <v>97</v>
      </c>
      <c r="AK136" s="22" t="s">
        <v>97</v>
      </c>
      <c r="AL136" s="22" t="s">
        <v>97</v>
      </c>
      <c r="AM136" s="22" t="s">
        <v>97</v>
      </c>
      <c r="AN136" s="22" t="s">
        <v>97</v>
      </c>
      <c r="AO136" s="22" t="s">
        <v>97</v>
      </c>
      <c r="AP136" s="22" t="s">
        <v>97</v>
      </c>
      <c r="AQ136" s="22" t="s">
        <v>97</v>
      </c>
      <c r="AR136" s="22" t="s">
        <v>97</v>
      </c>
      <c r="AS136" s="19" t="s">
        <v>49</v>
      </c>
      <c r="AT136" s="1"/>
      <c r="AU136" s="1"/>
      <c r="AV136" s="1"/>
      <c r="AW136" s="1"/>
      <c r="AX136" s="1"/>
    </row>
    <row r="137" spans="1:50" outlineLevel="1">
      <c r="A137" s="10" t="s">
        <v>103</v>
      </c>
      <c r="B137" s="10" t="s">
        <v>42</v>
      </c>
      <c r="C137" s="14" t="s">
        <v>23</v>
      </c>
      <c r="D137" s="10" t="s">
        <v>68</v>
      </c>
      <c r="E137" s="1"/>
      <c r="F137" s="1"/>
      <c r="G137" s="1"/>
      <c r="H137" s="1">
        <v>0.46</v>
      </c>
      <c r="I137" s="1">
        <v>0.65</v>
      </c>
      <c r="J137" s="1">
        <v>0.32</v>
      </c>
      <c r="L137" s="1">
        <v>0.63</v>
      </c>
      <c r="M137" s="1">
        <v>0.77</v>
      </c>
      <c r="N137" s="1">
        <v>0.88</v>
      </c>
      <c r="O137" s="1">
        <v>1.296</v>
      </c>
      <c r="P137" s="1"/>
      <c r="Q137" s="1">
        <v>1.944</v>
      </c>
      <c r="R137" s="1">
        <v>4.68</v>
      </c>
      <c r="S137" s="1">
        <v>5.04</v>
      </c>
      <c r="T137" s="1"/>
      <c r="U137" s="1">
        <v>9.36</v>
      </c>
      <c r="V137" s="1"/>
      <c r="W137" s="1">
        <v>11.52</v>
      </c>
      <c r="X137" s="1">
        <v>22.32</v>
      </c>
      <c r="Y137" s="22" t="s">
        <v>97</v>
      </c>
      <c r="Z137" s="22" t="s">
        <v>97</v>
      </c>
      <c r="AA137" s="22" t="s">
        <v>97</v>
      </c>
      <c r="AB137" s="22" t="s">
        <v>97</v>
      </c>
      <c r="AC137" s="22" t="s">
        <v>97</v>
      </c>
      <c r="AD137" s="22" t="s">
        <v>97</v>
      </c>
      <c r="AE137" s="22" t="s">
        <v>97</v>
      </c>
      <c r="AF137" s="22" t="s">
        <v>97</v>
      </c>
      <c r="AG137" s="22" t="s">
        <v>97</v>
      </c>
      <c r="AH137" s="22" t="s">
        <v>97</v>
      </c>
      <c r="AI137" s="22" t="s">
        <v>97</v>
      </c>
      <c r="AJ137" s="22" t="s">
        <v>97</v>
      </c>
      <c r="AK137" s="22" t="s">
        <v>97</v>
      </c>
      <c r="AL137" s="22" t="s">
        <v>97</v>
      </c>
      <c r="AM137" s="22" t="s">
        <v>97</v>
      </c>
      <c r="AN137" s="22" t="s">
        <v>97</v>
      </c>
      <c r="AO137" s="22" t="s">
        <v>97</v>
      </c>
      <c r="AP137" s="22" t="s">
        <v>97</v>
      </c>
      <c r="AQ137" s="22" t="s">
        <v>97</v>
      </c>
      <c r="AR137" s="22" t="s">
        <v>97</v>
      </c>
      <c r="AS137" s="19" t="s">
        <v>49</v>
      </c>
      <c r="AT137" s="1"/>
      <c r="AU137" s="1"/>
      <c r="AV137" s="1"/>
      <c r="AW137" s="1"/>
      <c r="AX137" s="1"/>
    </row>
    <row r="138" spans="1:50" outlineLevel="1">
      <c r="A138" s="10" t="s">
        <v>103</v>
      </c>
      <c r="B138" s="10" t="s">
        <v>42</v>
      </c>
      <c r="C138" s="14" t="s">
        <v>28</v>
      </c>
      <c r="D138" s="10" t="s">
        <v>74</v>
      </c>
      <c r="E138" s="1"/>
      <c r="F138" s="1"/>
      <c r="G138" s="1"/>
      <c r="H138" s="1">
        <v>0.46</v>
      </c>
      <c r="I138" s="1">
        <v>0.65</v>
      </c>
      <c r="J138" s="1">
        <v>0.4</v>
      </c>
      <c r="L138" s="1">
        <v>0.93600000000000005</v>
      </c>
      <c r="M138" s="1">
        <v>1.224</v>
      </c>
      <c r="N138" s="1">
        <v>1.5840000000000001</v>
      </c>
      <c r="O138" s="1">
        <v>2.52</v>
      </c>
      <c r="P138" s="1"/>
      <c r="Q138" s="1">
        <v>4.1760000000000002</v>
      </c>
      <c r="R138" s="1">
        <v>8.64</v>
      </c>
      <c r="S138" s="1">
        <v>10.08</v>
      </c>
      <c r="T138" s="1"/>
      <c r="U138" s="1">
        <v>18.72</v>
      </c>
      <c r="V138" s="1"/>
      <c r="W138" s="1">
        <v>23.04</v>
      </c>
      <c r="X138" s="1">
        <v>44.64</v>
      </c>
      <c r="Y138" s="1"/>
      <c r="Z138" s="1"/>
      <c r="AA138" s="1"/>
      <c r="AB138" s="1"/>
      <c r="AC138" s="1"/>
      <c r="AD138" s="1"/>
      <c r="AE138" s="1"/>
      <c r="AF138" s="22" t="s">
        <v>97</v>
      </c>
      <c r="AG138" s="22" t="s">
        <v>97</v>
      </c>
      <c r="AH138" s="22" t="s">
        <v>97</v>
      </c>
      <c r="AI138" s="22" t="s">
        <v>97</v>
      </c>
      <c r="AJ138" s="22" t="s">
        <v>97</v>
      </c>
      <c r="AK138" s="22" t="s">
        <v>97</v>
      </c>
      <c r="AL138" s="22" t="s">
        <v>97</v>
      </c>
      <c r="AM138" s="22" t="s">
        <v>97</v>
      </c>
      <c r="AN138" s="22" t="s">
        <v>97</v>
      </c>
      <c r="AO138" s="22" t="s">
        <v>97</v>
      </c>
      <c r="AP138" s="22" t="s">
        <v>97</v>
      </c>
      <c r="AQ138" s="22" t="s">
        <v>97</v>
      </c>
      <c r="AR138" s="22" t="s">
        <v>97</v>
      </c>
      <c r="AS138" s="19" t="s">
        <v>49</v>
      </c>
      <c r="AT138" s="1"/>
      <c r="AU138" s="1"/>
      <c r="AV138" s="1"/>
      <c r="AW138" s="1"/>
      <c r="AX138" s="1"/>
    </row>
    <row r="139" spans="1:50" outlineLevel="1">
      <c r="A139" s="10" t="s">
        <v>103</v>
      </c>
      <c r="B139" s="10" t="s">
        <v>42</v>
      </c>
      <c r="C139" s="14" t="s">
        <v>30</v>
      </c>
      <c r="D139" s="10" t="s">
        <v>75</v>
      </c>
      <c r="E139" s="1"/>
      <c r="F139" s="1"/>
      <c r="G139" s="1"/>
      <c r="H139" s="1">
        <v>0.78200000000000003</v>
      </c>
      <c r="I139" s="1">
        <v>1.105</v>
      </c>
      <c r="J139" s="1">
        <v>0.54700000000000004</v>
      </c>
      <c r="L139" s="1">
        <v>1.008</v>
      </c>
      <c r="M139" s="1">
        <v>1.3680000000000001</v>
      </c>
      <c r="N139" s="1">
        <v>1.44</v>
      </c>
      <c r="O139" s="1">
        <v>2.016</v>
      </c>
      <c r="P139" s="1"/>
      <c r="Q139" s="1">
        <v>3.024</v>
      </c>
      <c r="R139" s="1">
        <v>6.5519999999999996</v>
      </c>
      <c r="S139" s="1">
        <v>7.92</v>
      </c>
      <c r="T139" s="1"/>
      <c r="U139" s="1">
        <v>14.4</v>
      </c>
      <c r="V139" s="1"/>
      <c r="W139" s="1">
        <v>23.04</v>
      </c>
      <c r="X139" s="1">
        <v>35.36</v>
      </c>
      <c r="Y139" s="22" t="s">
        <v>97</v>
      </c>
      <c r="Z139" s="22" t="s">
        <v>97</v>
      </c>
      <c r="AA139" s="22" t="s">
        <v>97</v>
      </c>
      <c r="AB139" s="22" t="s">
        <v>97</v>
      </c>
      <c r="AC139" s="22" t="s">
        <v>97</v>
      </c>
      <c r="AD139" s="22" t="s">
        <v>97</v>
      </c>
      <c r="AE139" s="22" t="s">
        <v>97</v>
      </c>
      <c r="AF139" s="22" t="s">
        <v>97</v>
      </c>
      <c r="AG139" s="22" t="s">
        <v>97</v>
      </c>
      <c r="AH139" s="22" t="s">
        <v>97</v>
      </c>
      <c r="AI139" s="22" t="s">
        <v>97</v>
      </c>
      <c r="AJ139" s="22" t="s">
        <v>97</v>
      </c>
      <c r="AK139" s="22" t="s">
        <v>97</v>
      </c>
      <c r="AL139" s="22" t="s">
        <v>97</v>
      </c>
      <c r="AM139" s="22" t="s">
        <v>97</v>
      </c>
      <c r="AN139" s="22" t="s">
        <v>97</v>
      </c>
      <c r="AO139" s="22" t="s">
        <v>97</v>
      </c>
      <c r="AP139" s="22" t="s">
        <v>97</v>
      </c>
      <c r="AQ139" s="22" t="s">
        <v>97</v>
      </c>
      <c r="AR139" s="22" t="s">
        <v>97</v>
      </c>
      <c r="AS139" s="19" t="s">
        <v>49</v>
      </c>
      <c r="AT139" s="1"/>
      <c r="AU139" s="1"/>
      <c r="AV139" s="1"/>
      <c r="AW139" s="1"/>
      <c r="AX139" s="1"/>
    </row>
    <row r="140" spans="1:50" outlineLevel="1">
      <c r="A140" s="10" t="s">
        <v>103</v>
      </c>
      <c r="B140" s="10" t="s">
        <v>42</v>
      </c>
      <c r="C140" s="14" t="s">
        <v>33</v>
      </c>
      <c r="D140" s="10" t="s">
        <v>82</v>
      </c>
      <c r="E140" s="1"/>
      <c r="F140" s="1"/>
      <c r="G140" s="1"/>
      <c r="H140" s="1">
        <v>0.78200000000000003</v>
      </c>
      <c r="I140" s="1">
        <v>1.105</v>
      </c>
      <c r="J140" s="1">
        <v>0.71299999999999997</v>
      </c>
      <c r="L140" s="1">
        <v>1.296</v>
      </c>
      <c r="M140" s="1">
        <v>1.7230000000000001</v>
      </c>
      <c r="N140" s="1">
        <v>2.3039999999999998</v>
      </c>
      <c r="O140" s="1">
        <v>3.7440000000000002</v>
      </c>
      <c r="P140" s="1"/>
      <c r="Q140" s="1">
        <v>6.2640000000000002</v>
      </c>
      <c r="R140" s="1">
        <v>12.96</v>
      </c>
      <c r="S140" s="1">
        <v>14.4</v>
      </c>
      <c r="T140" s="1"/>
      <c r="U140" s="1">
        <v>26.64</v>
      </c>
      <c r="V140" s="1"/>
      <c r="W140" s="1">
        <v>47.52</v>
      </c>
      <c r="X140" s="1">
        <v>70.56</v>
      </c>
      <c r="Y140" s="1"/>
      <c r="Z140" s="1"/>
      <c r="AA140" s="1"/>
      <c r="AB140" s="1"/>
      <c r="AC140" s="1"/>
      <c r="AD140" s="1"/>
      <c r="AE140" s="1"/>
      <c r="AF140" s="22" t="s">
        <v>97</v>
      </c>
      <c r="AG140" s="22" t="s">
        <v>97</v>
      </c>
      <c r="AH140" s="22" t="s">
        <v>97</v>
      </c>
      <c r="AI140" s="22" t="s">
        <v>97</v>
      </c>
      <c r="AJ140" s="22" t="s">
        <v>97</v>
      </c>
      <c r="AK140" s="22" t="s">
        <v>97</v>
      </c>
      <c r="AL140" s="22" t="s">
        <v>97</v>
      </c>
      <c r="AM140" s="22" t="s">
        <v>97</v>
      </c>
      <c r="AN140" s="22" t="s">
        <v>97</v>
      </c>
      <c r="AO140" s="22" t="s">
        <v>97</v>
      </c>
      <c r="AP140" s="22" t="s">
        <v>97</v>
      </c>
      <c r="AQ140" s="22" t="s">
        <v>97</v>
      </c>
      <c r="AR140" s="22" t="s">
        <v>97</v>
      </c>
      <c r="AS140" s="19" t="s">
        <v>49</v>
      </c>
      <c r="AT140" s="1"/>
      <c r="AU140" s="1"/>
      <c r="AV140" s="1"/>
      <c r="AW140" s="1"/>
      <c r="AX140" s="1"/>
    </row>
    <row r="141" spans="1:50" outlineLevel="1">
      <c r="A141" s="10" t="s">
        <v>103</v>
      </c>
      <c r="B141" s="10" t="s">
        <v>42</v>
      </c>
      <c r="C141" s="10" t="s">
        <v>51</v>
      </c>
      <c r="D141" s="10" t="s">
        <v>93</v>
      </c>
      <c r="E141" s="18"/>
      <c r="F141" s="18"/>
      <c r="G141" s="18"/>
      <c r="H141" s="59">
        <f t="shared" ref="H141:X141" si="5">H133*20</f>
        <v>2.82</v>
      </c>
      <c r="I141" s="59">
        <f t="shared" si="5"/>
        <v>2.82</v>
      </c>
      <c r="J141" s="59">
        <f t="shared" si="5"/>
        <v>3.08</v>
      </c>
      <c r="L141" s="59">
        <f t="shared" si="5"/>
        <v>3.22</v>
      </c>
      <c r="M141" s="59">
        <f t="shared" si="5"/>
        <v>3.88</v>
      </c>
      <c r="N141" s="59">
        <f t="shared" si="5"/>
        <v>5.36</v>
      </c>
      <c r="O141" s="59">
        <f t="shared" si="5"/>
        <v>6.44</v>
      </c>
      <c r="P141" s="18"/>
      <c r="Q141" s="59">
        <f t="shared" si="5"/>
        <v>10.32</v>
      </c>
      <c r="R141" s="59">
        <f t="shared" si="5"/>
        <v>15</v>
      </c>
      <c r="S141" s="59">
        <f t="shared" si="5"/>
        <v>20.8</v>
      </c>
      <c r="T141" s="18"/>
      <c r="U141" s="59">
        <f t="shared" si="5"/>
        <v>35.24</v>
      </c>
      <c r="V141" s="18"/>
      <c r="W141" s="59">
        <f t="shared" si="5"/>
        <v>56.02</v>
      </c>
      <c r="X141" s="59">
        <f t="shared" si="5"/>
        <v>88.179999999999993</v>
      </c>
      <c r="Y141" s="1"/>
      <c r="Z141" s="1"/>
      <c r="AA141" s="1"/>
      <c r="AB141" s="1"/>
      <c r="AC141" s="22" t="s">
        <v>97</v>
      </c>
      <c r="AD141" s="22" t="s">
        <v>97</v>
      </c>
      <c r="AE141" s="22" t="s">
        <v>97</v>
      </c>
      <c r="AF141" s="22" t="s">
        <v>97</v>
      </c>
      <c r="AG141" s="22" t="s">
        <v>97</v>
      </c>
      <c r="AH141" s="22" t="s">
        <v>97</v>
      </c>
      <c r="AI141" s="22" t="s">
        <v>97</v>
      </c>
      <c r="AJ141" s="22" t="s">
        <v>97</v>
      </c>
      <c r="AK141" s="22" t="s">
        <v>97</v>
      </c>
      <c r="AL141" s="22" t="s">
        <v>97</v>
      </c>
      <c r="AM141" s="22" t="s">
        <v>97</v>
      </c>
      <c r="AN141" s="22" t="s">
        <v>97</v>
      </c>
      <c r="AO141" s="22" t="s">
        <v>97</v>
      </c>
      <c r="AP141" s="22" t="s">
        <v>97</v>
      </c>
      <c r="AQ141" s="22" t="s">
        <v>97</v>
      </c>
      <c r="AR141" s="22" t="s">
        <v>97</v>
      </c>
      <c r="AS141" s="19" t="s">
        <v>49</v>
      </c>
      <c r="AT141" s="1"/>
      <c r="AU141" s="1"/>
      <c r="AV141" s="1"/>
      <c r="AW141" s="1"/>
      <c r="AX141" s="1"/>
    </row>
    <row r="142" spans="1:50" outlineLevel="1">
      <c r="A142" s="10" t="s">
        <v>103</v>
      </c>
      <c r="B142" s="10" t="s">
        <v>42</v>
      </c>
      <c r="C142" s="10" t="s">
        <v>52</v>
      </c>
      <c r="D142" s="10" t="s">
        <v>94</v>
      </c>
      <c r="E142" s="18"/>
      <c r="F142" s="18"/>
      <c r="G142" s="18"/>
      <c r="H142" s="18"/>
      <c r="I142" s="18"/>
      <c r="J142" s="18"/>
      <c r="L142" s="18"/>
      <c r="M142" s="18"/>
      <c r="N142" s="18"/>
      <c r="O142" s="18"/>
      <c r="P142" s="18"/>
      <c r="Q142" s="18"/>
      <c r="R142" s="18"/>
      <c r="S142" s="18"/>
      <c r="T142" s="23" t="s">
        <v>97</v>
      </c>
      <c r="U142" s="18"/>
      <c r="V142" s="23" t="s">
        <v>97</v>
      </c>
      <c r="W142" s="18"/>
      <c r="X142" s="18"/>
      <c r="Y142" s="1"/>
      <c r="Z142" s="1"/>
      <c r="AA142" s="1"/>
      <c r="AB142" s="1"/>
      <c r="AC142" s="22" t="s">
        <v>97</v>
      </c>
      <c r="AD142" s="22" t="s">
        <v>97</v>
      </c>
      <c r="AE142" s="22" t="s">
        <v>97</v>
      </c>
      <c r="AF142" s="22" t="s">
        <v>97</v>
      </c>
      <c r="AG142" s="22" t="s">
        <v>97</v>
      </c>
      <c r="AH142" s="22" t="s">
        <v>97</v>
      </c>
      <c r="AI142" s="22" t="s">
        <v>97</v>
      </c>
      <c r="AJ142" s="22" t="s">
        <v>97</v>
      </c>
      <c r="AK142" s="22" t="s">
        <v>97</v>
      </c>
      <c r="AL142" s="22" t="s">
        <v>97</v>
      </c>
      <c r="AM142" s="22" t="s">
        <v>97</v>
      </c>
      <c r="AN142" s="22" t="s">
        <v>97</v>
      </c>
      <c r="AO142" s="22" t="s">
        <v>97</v>
      </c>
      <c r="AP142" s="22" t="s">
        <v>97</v>
      </c>
      <c r="AQ142" s="22" t="s">
        <v>97</v>
      </c>
      <c r="AR142" s="22" t="s">
        <v>97</v>
      </c>
      <c r="AS142" s="19" t="s">
        <v>49</v>
      </c>
      <c r="AT142" s="1"/>
      <c r="AU142" s="1"/>
      <c r="AV142" s="1"/>
      <c r="AW142" s="1"/>
      <c r="AX142" s="1"/>
    </row>
    <row r="143" spans="1:50" outlineLevel="1">
      <c r="A143" s="10" t="s">
        <v>103</v>
      </c>
      <c r="B143" s="10" t="s">
        <v>42</v>
      </c>
      <c r="C143" s="10" t="s">
        <v>90</v>
      </c>
      <c r="D143" s="10" t="s">
        <v>88</v>
      </c>
      <c r="E143" s="18"/>
      <c r="F143" s="18"/>
      <c r="G143" s="18"/>
      <c r="H143" s="18"/>
      <c r="I143" s="18"/>
      <c r="J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"/>
      <c r="Z143" s="1"/>
      <c r="AA143" s="1"/>
      <c r="AB143" s="1"/>
      <c r="AC143" s="22" t="s">
        <v>97</v>
      </c>
      <c r="AD143" s="22" t="s">
        <v>97</v>
      </c>
      <c r="AE143" s="22" t="s">
        <v>97</v>
      </c>
      <c r="AF143" s="22" t="s">
        <v>97</v>
      </c>
      <c r="AG143" s="22" t="s">
        <v>97</v>
      </c>
      <c r="AH143" s="22" t="s">
        <v>97</v>
      </c>
      <c r="AI143" s="22" t="s">
        <v>97</v>
      </c>
      <c r="AJ143" s="22" t="s">
        <v>97</v>
      </c>
      <c r="AK143" s="22" t="s">
        <v>97</v>
      </c>
      <c r="AL143" s="22" t="s">
        <v>97</v>
      </c>
      <c r="AM143" s="22" t="s">
        <v>97</v>
      </c>
      <c r="AN143" s="22" t="s">
        <v>97</v>
      </c>
      <c r="AO143" s="22" t="s">
        <v>97</v>
      </c>
      <c r="AP143" s="22" t="s">
        <v>97</v>
      </c>
      <c r="AQ143" s="22" t="s">
        <v>97</v>
      </c>
      <c r="AR143" s="22" t="s">
        <v>97</v>
      </c>
      <c r="AS143" s="19" t="s">
        <v>49</v>
      </c>
      <c r="AT143" s="1"/>
      <c r="AU143" s="1"/>
      <c r="AV143" s="1"/>
      <c r="AW143" s="1"/>
      <c r="AX143" s="1"/>
    </row>
    <row r="144" spans="1:50" outlineLevel="1">
      <c r="A144" s="10" t="s">
        <v>103</v>
      </c>
      <c r="B144" s="10" t="s">
        <v>42</v>
      </c>
      <c r="C144" s="10" t="s">
        <v>91</v>
      </c>
      <c r="D144" s="10" t="s">
        <v>89</v>
      </c>
      <c r="E144" s="18"/>
      <c r="F144" s="18"/>
      <c r="G144" s="18"/>
      <c r="H144" s="18"/>
      <c r="I144" s="18"/>
      <c r="J144" s="18"/>
      <c r="L144" s="18"/>
      <c r="M144" s="18"/>
      <c r="N144" s="18"/>
      <c r="O144" s="18"/>
      <c r="P144" s="18"/>
      <c r="Q144" s="18"/>
      <c r="R144" s="18"/>
      <c r="S144" s="18"/>
      <c r="T144" s="23" t="s">
        <v>97</v>
      </c>
      <c r="U144" s="18"/>
      <c r="V144" s="23" t="s">
        <v>97</v>
      </c>
      <c r="W144" s="18"/>
      <c r="X144" s="18"/>
      <c r="Y144" s="1"/>
      <c r="Z144" s="1"/>
      <c r="AA144" s="1"/>
      <c r="AB144" s="1"/>
      <c r="AC144" s="22" t="s">
        <v>97</v>
      </c>
      <c r="AD144" s="22" t="s">
        <v>97</v>
      </c>
      <c r="AE144" s="22" t="s">
        <v>97</v>
      </c>
      <c r="AF144" s="22" t="s">
        <v>97</v>
      </c>
      <c r="AG144" s="22" t="s">
        <v>97</v>
      </c>
      <c r="AH144" s="22" t="s">
        <v>97</v>
      </c>
      <c r="AI144" s="22" t="s">
        <v>97</v>
      </c>
      <c r="AJ144" s="22" t="s">
        <v>97</v>
      </c>
      <c r="AK144" s="22" t="s">
        <v>97</v>
      </c>
      <c r="AL144" s="22" t="s">
        <v>97</v>
      </c>
      <c r="AM144" s="22" t="s">
        <v>97</v>
      </c>
      <c r="AN144" s="22" t="s">
        <v>97</v>
      </c>
      <c r="AO144" s="22" t="s">
        <v>97</v>
      </c>
      <c r="AP144" s="22" t="s">
        <v>97</v>
      </c>
      <c r="AQ144" s="22" t="s">
        <v>97</v>
      </c>
      <c r="AR144" s="22" t="s">
        <v>97</v>
      </c>
      <c r="AS144" s="19" t="s">
        <v>49</v>
      </c>
      <c r="AT144" s="1"/>
      <c r="AU144" s="1"/>
      <c r="AV144" s="1"/>
      <c r="AW144" s="1"/>
      <c r="AX144" s="1"/>
    </row>
    <row r="145" spans="1:50" outlineLevel="1">
      <c r="A145" s="10" t="s">
        <v>103</v>
      </c>
      <c r="B145" s="10" t="s">
        <v>42</v>
      </c>
      <c r="C145" s="10" t="s">
        <v>95</v>
      </c>
      <c r="D145" s="10" t="s">
        <v>96</v>
      </c>
      <c r="E145" s="18"/>
      <c r="F145" s="18"/>
      <c r="G145" s="18"/>
      <c r="H145" s="18"/>
      <c r="I145" s="18"/>
      <c r="J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"/>
      <c r="Z145" s="1"/>
      <c r="AA145" s="1"/>
      <c r="AB145" s="1"/>
      <c r="AC145" s="22" t="s">
        <v>97</v>
      </c>
      <c r="AD145" s="22" t="s">
        <v>97</v>
      </c>
      <c r="AE145" s="22" t="s">
        <v>97</v>
      </c>
      <c r="AF145" s="22" t="s">
        <v>97</v>
      </c>
      <c r="AG145" s="22" t="s">
        <v>97</v>
      </c>
      <c r="AH145" s="22" t="s">
        <v>97</v>
      </c>
      <c r="AI145" s="22" t="s">
        <v>97</v>
      </c>
      <c r="AJ145" s="22" t="s">
        <v>97</v>
      </c>
      <c r="AK145" s="22" t="s">
        <v>97</v>
      </c>
      <c r="AL145" s="22" t="s">
        <v>97</v>
      </c>
      <c r="AM145" s="22" t="s">
        <v>97</v>
      </c>
      <c r="AN145" s="22" t="s">
        <v>97</v>
      </c>
      <c r="AO145" s="22" t="s">
        <v>97</v>
      </c>
      <c r="AP145" s="22" t="s">
        <v>97</v>
      </c>
      <c r="AQ145" s="22" t="s">
        <v>97</v>
      </c>
      <c r="AR145" s="22" t="s">
        <v>97</v>
      </c>
      <c r="AS145" s="19" t="s">
        <v>49</v>
      </c>
      <c r="AT145" s="1"/>
      <c r="AU145" s="1"/>
      <c r="AV145" s="1"/>
      <c r="AW145" s="1"/>
      <c r="AX145" s="1"/>
    </row>
    <row r="146" spans="1:50" outlineLevel="1">
      <c r="A146" s="10" t="s">
        <v>103</v>
      </c>
      <c r="B146" s="10" t="s">
        <v>42</v>
      </c>
      <c r="C146" s="10" t="s">
        <v>129</v>
      </c>
      <c r="D146" s="10" t="s">
        <v>134</v>
      </c>
      <c r="E146" s="18"/>
      <c r="F146" s="18"/>
      <c r="G146" s="18"/>
      <c r="H146" s="18"/>
      <c r="I146" s="18"/>
      <c r="J146" s="18"/>
      <c r="L146" s="18"/>
      <c r="M146" s="18"/>
      <c r="N146" s="18"/>
      <c r="O146" s="18"/>
      <c r="P146" s="18"/>
      <c r="Q146" s="18"/>
      <c r="R146" s="18"/>
      <c r="S146" s="18"/>
      <c r="T146" s="23" t="s">
        <v>97</v>
      </c>
      <c r="U146" s="18"/>
      <c r="V146" s="23" t="s">
        <v>97</v>
      </c>
      <c r="W146" s="18"/>
      <c r="X146" s="18"/>
      <c r="Y146" s="1"/>
      <c r="Z146" s="1"/>
      <c r="AA146" s="1"/>
      <c r="AB146" s="1"/>
      <c r="AC146" s="22" t="s">
        <v>97</v>
      </c>
      <c r="AD146" s="22" t="s">
        <v>97</v>
      </c>
      <c r="AE146" s="22" t="s">
        <v>97</v>
      </c>
      <c r="AF146" s="22" t="s">
        <v>97</v>
      </c>
      <c r="AG146" s="22" t="s">
        <v>97</v>
      </c>
      <c r="AH146" s="22" t="s">
        <v>97</v>
      </c>
      <c r="AI146" s="22" t="s">
        <v>97</v>
      </c>
      <c r="AJ146" s="22" t="s">
        <v>97</v>
      </c>
      <c r="AK146" s="22" t="s">
        <v>97</v>
      </c>
      <c r="AL146" s="22" t="s">
        <v>97</v>
      </c>
      <c r="AM146" s="22" t="s">
        <v>97</v>
      </c>
      <c r="AN146" s="22" t="s">
        <v>97</v>
      </c>
      <c r="AO146" s="22" t="s">
        <v>97</v>
      </c>
      <c r="AP146" s="22" t="s">
        <v>97</v>
      </c>
      <c r="AQ146" s="22" t="s">
        <v>97</v>
      </c>
      <c r="AR146" s="22" t="s">
        <v>97</v>
      </c>
      <c r="AS146" s="19" t="s">
        <v>48</v>
      </c>
      <c r="AT146" s="1"/>
      <c r="AU146" s="1"/>
      <c r="AV146" s="1"/>
      <c r="AW146" s="1"/>
      <c r="AX146" s="1"/>
    </row>
    <row r="147" spans="1:50" outlineLevel="1">
      <c r="A147" s="10" t="s">
        <v>103</v>
      </c>
      <c r="B147" s="10" t="s">
        <v>42</v>
      </c>
      <c r="C147" s="24" t="s">
        <v>135</v>
      </c>
      <c r="D147" s="10" t="s">
        <v>92</v>
      </c>
      <c r="E147" s="18"/>
      <c r="F147" s="18"/>
      <c r="G147" s="18"/>
      <c r="H147" s="18"/>
      <c r="I147" s="18"/>
      <c r="J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9" t="s">
        <v>49</v>
      </c>
      <c r="AT147" s="1"/>
      <c r="AU147" s="1"/>
      <c r="AV147" s="1"/>
      <c r="AW147" s="1"/>
      <c r="AX147" s="1"/>
    </row>
    <row r="148" spans="1:50" outlineLevel="1">
      <c r="A148" s="20" t="s">
        <v>256</v>
      </c>
      <c r="B148" s="20" t="s">
        <v>256</v>
      </c>
      <c r="C148" s="20" t="s">
        <v>246</v>
      </c>
      <c r="D148" s="20" t="s">
        <v>48</v>
      </c>
      <c r="E148" s="19" t="s">
        <v>48</v>
      </c>
      <c r="F148" s="19" t="s">
        <v>48</v>
      </c>
      <c r="G148" s="19" t="s">
        <v>48</v>
      </c>
      <c r="H148" s="19" t="s">
        <v>48</v>
      </c>
      <c r="I148" s="19" t="s">
        <v>48</v>
      </c>
      <c r="J148" s="19" t="s">
        <v>48</v>
      </c>
      <c r="K148" s="21" t="s">
        <v>48</v>
      </c>
      <c r="L148" s="19" t="s">
        <v>48</v>
      </c>
      <c r="M148" s="19" t="s">
        <v>48</v>
      </c>
      <c r="N148" s="19" t="s">
        <v>48</v>
      </c>
      <c r="O148" s="19" t="s">
        <v>48</v>
      </c>
      <c r="P148" s="19" t="s">
        <v>48</v>
      </c>
      <c r="Q148" s="19" t="s">
        <v>48</v>
      </c>
      <c r="R148" s="19" t="s">
        <v>48</v>
      </c>
      <c r="S148" s="19" t="s">
        <v>48</v>
      </c>
      <c r="T148" s="19" t="s">
        <v>48</v>
      </c>
      <c r="U148" s="19" t="s">
        <v>48</v>
      </c>
      <c r="V148" s="19"/>
      <c r="W148" s="19" t="s">
        <v>48</v>
      </c>
      <c r="X148" s="19" t="s">
        <v>48</v>
      </c>
      <c r="Y148" s="19" t="s">
        <v>48</v>
      </c>
      <c r="Z148" s="19" t="s">
        <v>48</v>
      </c>
      <c r="AA148" s="19" t="s">
        <v>48</v>
      </c>
      <c r="AB148" s="19" t="s">
        <v>48</v>
      </c>
      <c r="AC148" s="19" t="s">
        <v>48</v>
      </c>
      <c r="AD148" s="19" t="s">
        <v>48</v>
      </c>
      <c r="AE148" s="19" t="s">
        <v>48</v>
      </c>
      <c r="AF148" s="19" t="s">
        <v>48</v>
      </c>
      <c r="AG148" s="19" t="s">
        <v>48</v>
      </c>
      <c r="AH148" s="19" t="s">
        <v>48</v>
      </c>
      <c r="AI148" s="19" t="s">
        <v>48</v>
      </c>
      <c r="AJ148" s="19" t="s">
        <v>48</v>
      </c>
      <c r="AK148" s="19" t="s">
        <v>48</v>
      </c>
      <c r="AL148" s="19" t="s">
        <v>48</v>
      </c>
      <c r="AM148" s="19" t="s">
        <v>48</v>
      </c>
      <c r="AN148" s="19" t="s">
        <v>48</v>
      </c>
      <c r="AO148" s="19" t="s">
        <v>48</v>
      </c>
      <c r="AP148" s="19" t="s">
        <v>48</v>
      </c>
      <c r="AQ148" s="19" t="s">
        <v>48</v>
      </c>
      <c r="AR148" s="19" t="s">
        <v>48</v>
      </c>
      <c r="AS148" s="19" t="s">
        <v>49</v>
      </c>
      <c r="AT148" s="1"/>
      <c r="AU148" s="1"/>
      <c r="AV148" s="1"/>
      <c r="AW148" s="1"/>
      <c r="AX148" s="1"/>
    </row>
    <row r="149" spans="1:50" outlineLevel="1">
      <c r="A149" s="10" t="s">
        <v>104</v>
      </c>
      <c r="B149" s="10" t="s">
        <v>42</v>
      </c>
      <c r="C149" s="10" t="s">
        <v>2</v>
      </c>
      <c r="D149" s="10" t="s">
        <v>204</v>
      </c>
      <c r="E149" s="1"/>
      <c r="F149" s="1"/>
      <c r="G149" s="1"/>
      <c r="H149" s="1">
        <v>0.185</v>
      </c>
      <c r="I149" s="1">
        <v>0.22</v>
      </c>
      <c r="J149" s="1">
        <v>0.28999999999999998</v>
      </c>
      <c r="L149" s="1">
        <v>0.43</v>
      </c>
      <c r="M149" s="1">
        <v>0.51</v>
      </c>
      <c r="N149" s="1">
        <v>0.69</v>
      </c>
      <c r="O149" s="1">
        <v>0.73</v>
      </c>
      <c r="P149" s="1"/>
      <c r="Q149" s="1">
        <v>0.87</v>
      </c>
      <c r="R149" s="1">
        <v>1.3</v>
      </c>
      <c r="S149" s="1">
        <v>1.67</v>
      </c>
      <c r="T149" s="1"/>
      <c r="U149" s="1">
        <v>2.1</v>
      </c>
      <c r="V149" s="1"/>
      <c r="W149" s="1">
        <v>3.28</v>
      </c>
      <c r="X149" s="1">
        <v>3.5</v>
      </c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9" t="s">
        <v>49</v>
      </c>
      <c r="AT149" s="1"/>
      <c r="AU149" s="1"/>
      <c r="AV149" s="1"/>
      <c r="AW149" s="1"/>
      <c r="AX149" s="1"/>
    </row>
    <row r="150" spans="1:50" outlineLevel="1">
      <c r="A150" s="10" t="s">
        <v>104</v>
      </c>
      <c r="B150" s="10" t="s">
        <v>42</v>
      </c>
      <c r="C150" s="10" t="s">
        <v>106</v>
      </c>
      <c r="D150" s="10" t="s">
        <v>205</v>
      </c>
      <c r="E150" s="1"/>
      <c r="F150" s="1"/>
      <c r="G150" s="1"/>
      <c r="H150" s="1">
        <v>0.26</v>
      </c>
      <c r="I150" s="1">
        <v>0.28000000000000003</v>
      </c>
      <c r="J150" s="1">
        <v>0.36</v>
      </c>
      <c r="L150" s="1">
        <v>0.53</v>
      </c>
      <c r="M150" s="1">
        <v>0.63</v>
      </c>
      <c r="N150" s="1">
        <v>0.85</v>
      </c>
      <c r="O150" s="1">
        <v>0.9</v>
      </c>
      <c r="P150" s="1"/>
      <c r="Q150" s="1">
        <v>1.1200000000000001</v>
      </c>
      <c r="R150" s="1">
        <v>1.7</v>
      </c>
      <c r="S150" s="1">
        <v>2.1</v>
      </c>
      <c r="T150" s="1"/>
      <c r="U150" s="1">
        <v>2.5499999999999998</v>
      </c>
      <c r="V150" s="1"/>
      <c r="W150" s="1">
        <v>4.5</v>
      </c>
      <c r="X150" s="1">
        <v>4.7699999999999996</v>
      </c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9" t="s">
        <v>49</v>
      </c>
      <c r="AT150" s="1"/>
      <c r="AU150" s="1"/>
      <c r="AV150" s="1"/>
      <c r="AW150" s="1"/>
      <c r="AX150" s="1"/>
    </row>
    <row r="151" spans="1:50" outlineLevel="1">
      <c r="A151" s="10" t="s">
        <v>104</v>
      </c>
      <c r="B151" s="10" t="s">
        <v>42</v>
      </c>
      <c r="C151" s="10" t="s">
        <v>231</v>
      </c>
      <c r="D151" s="10" t="s">
        <v>206</v>
      </c>
      <c r="E151" s="1"/>
      <c r="F151" s="1"/>
      <c r="G151" s="1"/>
      <c r="H151" s="1">
        <v>0.86</v>
      </c>
      <c r="I151" s="1">
        <v>1.07</v>
      </c>
      <c r="J151" s="1">
        <v>1.1599999999999999</v>
      </c>
      <c r="L151" s="1">
        <v>1.75</v>
      </c>
      <c r="M151" s="1">
        <v>1.89</v>
      </c>
      <c r="N151" s="1">
        <v>2.92</v>
      </c>
      <c r="O151" s="1">
        <v>3.21</v>
      </c>
      <c r="P151" s="1"/>
      <c r="Q151" s="1">
        <v>5.7</v>
      </c>
      <c r="R151" s="1">
        <v>7.98</v>
      </c>
      <c r="S151" s="1">
        <v>9.6</v>
      </c>
      <c r="T151" s="1"/>
      <c r="U151" s="1">
        <v>13.8</v>
      </c>
      <c r="V151" s="1"/>
      <c r="W151" s="1">
        <v>21.6</v>
      </c>
      <c r="X151" s="1">
        <v>31.2</v>
      </c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9" t="s">
        <v>49</v>
      </c>
      <c r="AT151" s="1"/>
      <c r="AU151" s="1"/>
      <c r="AV151" s="1"/>
      <c r="AW151" s="1"/>
      <c r="AX151" s="1"/>
    </row>
    <row r="152" spans="1:50" outlineLevel="1">
      <c r="A152" s="10" t="s">
        <v>104</v>
      </c>
      <c r="B152" s="10" t="s">
        <v>42</v>
      </c>
      <c r="C152" s="10" t="s">
        <v>233</v>
      </c>
      <c r="D152" s="10" t="s">
        <v>207</v>
      </c>
      <c r="E152" s="1"/>
      <c r="F152" s="1"/>
      <c r="G152" s="1"/>
      <c r="H152" s="1">
        <v>0.67500000000000004</v>
      </c>
      <c r="I152" s="1">
        <v>0.71</v>
      </c>
      <c r="J152" s="1">
        <v>0.78</v>
      </c>
      <c r="L152" s="1">
        <v>1.0249999999999999</v>
      </c>
      <c r="M152" s="1">
        <v>1.28</v>
      </c>
      <c r="N152" s="1">
        <v>1.73</v>
      </c>
      <c r="O152" s="1">
        <v>1.895</v>
      </c>
      <c r="P152" s="1"/>
      <c r="Q152" s="1">
        <v>2.238</v>
      </c>
      <c r="R152" s="1">
        <v>3.3879999999999999</v>
      </c>
      <c r="S152" s="1">
        <v>3.9740000000000002</v>
      </c>
      <c r="T152" s="1"/>
      <c r="U152" s="1">
        <v>6.06</v>
      </c>
      <c r="V152" s="1"/>
      <c r="W152" s="1">
        <v>7.16</v>
      </c>
      <c r="X152" s="1">
        <v>11.42</v>
      </c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9" t="s">
        <v>49</v>
      </c>
      <c r="AT152" s="1"/>
      <c r="AU152" s="1"/>
      <c r="AV152" s="1"/>
      <c r="AW152" s="1"/>
      <c r="AX152" s="1"/>
    </row>
    <row r="153" spans="1:50" outlineLevel="1">
      <c r="A153" s="10" t="s">
        <v>104</v>
      </c>
      <c r="B153" s="10" t="s">
        <v>42</v>
      </c>
      <c r="C153" s="10" t="s">
        <v>229</v>
      </c>
      <c r="D153" s="10" t="s">
        <v>208</v>
      </c>
      <c r="E153" s="1"/>
      <c r="F153" s="1"/>
      <c r="G153" s="1"/>
      <c r="H153" s="1">
        <v>1.34</v>
      </c>
      <c r="I153" s="1">
        <v>1.64</v>
      </c>
      <c r="J153" s="1">
        <v>1.78</v>
      </c>
      <c r="L153" s="1">
        <v>2.5</v>
      </c>
      <c r="M153" s="1">
        <v>3.06</v>
      </c>
      <c r="N153" s="1">
        <v>4.96</v>
      </c>
      <c r="O153" s="1">
        <v>5.56</v>
      </c>
      <c r="P153" s="1"/>
      <c r="Q153" s="1">
        <v>8.48</v>
      </c>
      <c r="R153" s="1">
        <v>11.9</v>
      </c>
      <c r="S153" s="1">
        <v>14.6</v>
      </c>
      <c r="T153" s="1"/>
      <c r="U153" s="1">
        <v>24.5</v>
      </c>
      <c r="V153" s="1"/>
      <c r="W153" s="1">
        <v>33.6</v>
      </c>
      <c r="X153" s="1">
        <v>55</v>
      </c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9" t="s">
        <v>49</v>
      </c>
      <c r="AT153" s="1"/>
      <c r="AU153" s="1"/>
      <c r="AV153" s="1"/>
      <c r="AW153" s="1"/>
      <c r="AX153" s="1"/>
    </row>
    <row r="154" spans="1:50" outlineLevel="1">
      <c r="A154" s="10" t="s">
        <v>104</v>
      </c>
      <c r="B154" s="10" t="s">
        <v>42</v>
      </c>
      <c r="C154" s="10" t="s">
        <v>234</v>
      </c>
      <c r="D154" s="10" t="s">
        <v>209</v>
      </c>
      <c r="E154" s="1"/>
      <c r="F154" s="1"/>
      <c r="G154" s="1"/>
      <c r="H154" s="1">
        <v>0.97699999999999998</v>
      </c>
      <c r="I154" s="1">
        <v>1.012</v>
      </c>
      <c r="J154" s="1">
        <v>1.0820000000000001</v>
      </c>
      <c r="L154" s="1">
        <v>1.3660000000000001</v>
      </c>
      <c r="M154" s="1">
        <v>1.734</v>
      </c>
      <c r="N154" s="1">
        <v>2.274</v>
      </c>
      <c r="O154" s="1">
        <v>2.5299999999999998</v>
      </c>
      <c r="P154" s="1"/>
      <c r="Q154" s="1">
        <v>3.03</v>
      </c>
      <c r="R154" s="1">
        <v>4.6120000000000001</v>
      </c>
      <c r="S154" s="1">
        <v>5.4139999999999997</v>
      </c>
      <c r="T154" s="1"/>
      <c r="U154" s="1">
        <v>8.4359999999999999</v>
      </c>
      <c r="V154" s="1"/>
      <c r="W154" s="1">
        <v>12.64</v>
      </c>
      <c r="X154" s="1">
        <v>16.46</v>
      </c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9" t="s">
        <v>49</v>
      </c>
      <c r="AT154" s="1"/>
      <c r="AU154" s="1"/>
      <c r="AV154" s="1"/>
      <c r="AW154" s="1"/>
      <c r="AX154" s="1"/>
    </row>
    <row r="155" spans="1:50" outlineLevel="1">
      <c r="A155" s="10" t="s">
        <v>104</v>
      </c>
      <c r="B155" s="10" t="s">
        <v>42</v>
      </c>
      <c r="C155" s="10" t="s">
        <v>228</v>
      </c>
      <c r="D155" s="10" t="s">
        <v>210</v>
      </c>
      <c r="E155" s="1"/>
      <c r="F155" s="1"/>
      <c r="G155" s="1"/>
      <c r="H155" s="1">
        <v>1.78</v>
      </c>
      <c r="I155" s="1">
        <v>2.08</v>
      </c>
      <c r="J155" s="1">
        <v>2.2200000000000002</v>
      </c>
      <c r="L155" s="1">
        <v>3.01</v>
      </c>
      <c r="M155" s="1">
        <v>3.7</v>
      </c>
      <c r="N155" s="1">
        <v>6.2</v>
      </c>
      <c r="O155" s="1">
        <v>6.91</v>
      </c>
      <c r="P155" s="1"/>
      <c r="Q155" s="1">
        <v>10.3</v>
      </c>
      <c r="R155" s="1">
        <v>15.2</v>
      </c>
      <c r="S155" s="1">
        <v>18.399999999999999</v>
      </c>
      <c r="T155" s="1"/>
      <c r="U155" s="1">
        <v>30.1</v>
      </c>
      <c r="V155" s="1"/>
      <c r="W155" s="1">
        <v>42.5</v>
      </c>
      <c r="X155" s="1">
        <v>66.900000000000006</v>
      </c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9" t="s">
        <v>49</v>
      </c>
      <c r="AT155" s="1"/>
      <c r="AU155" s="1"/>
      <c r="AV155" s="1"/>
      <c r="AW155" s="1"/>
      <c r="AX155" s="1"/>
    </row>
    <row r="156" spans="1:50" outlineLevel="1">
      <c r="A156" s="10" t="s">
        <v>104</v>
      </c>
      <c r="B156" s="10" t="s">
        <v>42</v>
      </c>
      <c r="C156" s="10" t="s">
        <v>130</v>
      </c>
      <c r="D156" s="10" t="s">
        <v>93</v>
      </c>
      <c r="E156" s="18"/>
      <c r="F156" s="18"/>
      <c r="G156" s="18"/>
      <c r="H156" s="59">
        <v>0</v>
      </c>
      <c r="I156" s="59">
        <v>0</v>
      </c>
      <c r="J156" s="59">
        <v>0</v>
      </c>
      <c r="L156" s="59">
        <v>0</v>
      </c>
      <c r="M156" s="59">
        <v>0</v>
      </c>
      <c r="N156" s="59">
        <v>0</v>
      </c>
      <c r="O156" s="59">
        <v>0</v>
      </c>
      <c r="P156" s="18"/>
      <c r="Q156" s="59">
        <v>0</v>
      </c>
      <c r="R156" s="59">
        <v>0</v>
      </c>
      <c r="S156" s="59">
        <v>0</v>
      </c>
      <c r="T156" s="18"/>
      <c r="U156" s="59">
        <v>0</v>
      </c>
      <c r="V156" s="18"/>
      <c r="W156" s="59">
        <v>0</v>
      </c>
      <c r="X156" s="59">
        <v>0</v>
      </c>
      <c r="Y156" s="1"/>
      <c r="Z156" s="1"/>
      <c r="AA156" s="1"/>
      <c r="AB156" s="1"/>
      <c r="AC156" s="22" t="s">
        <v>97</v>
      </c>
      <c r="AD156" s="22" t="s">
        <v>97</v>
      </c>
      <c r="AE156" s="22" t="s">
        <v>97</v>
      </c>
      <c r="AF156" s="22" t="s">
        <v>97</v>
      </c>
      <c r="AG156" s="22" t="s">
        <v>97</v>
      </c>
      <c r="AH156" s="22" t="s">
        <v>97</v>
      </c>
      <c r="AI156" s="22" t="s">
        <v>97</v>
      </c>
      <c r="AJ156" s="22" t="s">
        <v>97</v>
      </c>
      <c r="AK156" s="22" t="s">
        <v>97</v>
      </c>
      <c r="AL156" s="22" t="s">
        <v>97</v>
      </c>
      <c r="AM156" s="22" t="s">
        <v>97</v>
      </c>
      <c r="AN156" s="22" t="s">
        <v>97</v>
      </c>
      <c r="AO156" s="22" t="s">
        <v>97</v>
      </c>
      <c r="AP156" s="22" t="s">
        <v>97</v>
      </c>
      <c r="AQ156" s="22" t="s">
        <v>97</v>
      </c>
      <c r="AR156" s="22" t="s">
        <v>97</v>
      </c>
      <c r="AS156" s="19" t="s">
        <v>49</v>
      </c>
      <c r="AT156" s="1"/>
      <c r="AU156" s="1"/>
      <c r="AV156" s="1"/>
      <c r="AW156" s="1"/>
      <c r="AX156" s="1"/>
    </row>
    <row r="157" spans="1:50" outlineLevel="1">
      <c r="A157" s="10" t="s">
        <v>104</v>
      </c>
      <c r="B157" s="10" t="s">
        <v>42</v>
      </c>
      <c r="C157" s="10" t="s">
        <v>131</v>
      </c>
      <c r="D157" s="10" t="s">
        <v>94</v>
      </c>
      <c r="E157" s="18"/>
      <c r="F157" s="18"/>
      <c r="G157" s="18"/>
      <c r="H157" s="18"/>
      <c r="I157" s="18"/>
      <c r="J157" s="18"/>
      <c r="L157" s="18"/>
      <c r="M157" s="18"/>
      <c r="N157" s="18"/>
      <c r="O157" s="18"/>
      <c r="P157" s="18"/>
      <c r="Q157" s="18"/>
      <c r="R157" s="18"/>
      <c r="S157" s="18"/>
      <c r="T157" s="23" t="s">
        <v>97</v>
      </c>
      <c r="U157" s="18"/>
      <c r="V157" s="23" t="s">
        <v>97</v>
      </c>
      <c r="W157" s="18"/>
      <c r="X157" s="18"/>
      <c r="Y157" s="1"/>
      <c r="Z157" s="1"/>
      <c r="AA157" s="1"/>
      <c r="AB157" s="1"/>
      <c r="AC157" s="22" t="s">
        <v>97</v>
      </c>
      <c r="AD157" s="22" t="s">
        <v>97</v>
      </c>
      <c r="AE157" s="22" t="s">
        <v>97</v>
      </c>
      <c r="AF157" s="22" t="s">
        <v>97</v>
      </c>
      <c r="AG157" s="22" t="s">
        <v>97</v>
      </c>
      <c r="AH157" s="22" t="s">
        <v>97</v>
      </c>
      <c r="AI157" s="22" t="s">
        <v>97</v>
      </c>
      <c r="AJ157" s="22" t="s">
        <v>97</v>
      </c>
      <c r="AK157" s="22" t="s">
        <v>97</v>
      </c>
      <c r="AL157" s="22" t="s">
        <v>97</v>
      </c>
      <c r="AM157" s="22" t="s">
        <v>97</v>
      </c>
      <c r="AN157" s="22" t="s">
        <v>97</v>
      </c>
      <c r="AO157" s="22" t="s">
        <v>97</v>
      </c>
      <c r="AP157" s="22" t="s">
        <v>97</v>
      </c>
      <c r="AQ157" s="22" t="s">
        <v>97</v>
      </c>
      <c r="AR157" s="22" t="s">
        <v>97</v>
      </c>
      <c r="AS157" s="19" t="s">
        <v>49</v>
      </c>
      <c r="AT157" s="1"/>
      <c r="AU157" s="1"/>
      <c r="AV157" s="1"/>
      <c r="AW157" s="1"/>
      <c r="AX157" s="1"/>
    </row>
    <row r="158" spans="1:50" outlineLevel="1">
      <c r="A158" s="10" t="s">
        <v>104</v>
      </c>
      <c r="B158" s="10" t="s">
        <v>42</v>
      </c>
      <c r="C158" s="10" t="s">
        <v>132</v>
      </c>
      <c r="D158" s="10" t="s">
        <v>88</v>
      </c>
      <c r="E158" s="18"/>
      <c r="F158" s="18"/>
      <c r="G158" s="18"/>
      <c r="H158" s="18"/>
      <c r="I158" s="18"/>
      <c r="J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"/>
      <c r="Z158" s="1"/>
      <c r="AA158" s="1"/>
      <c r="AB158" s="1"/>
      <c r="AC158" s="22" t="s">
        <v>97</v>
      </c>
      <c r="AD158" s="22" t="s">
        <v>97</v>
      </c>
      <c r="AE158" s="22" t="s">
        <v>97</v>
      </c>
      <c r="AF158" s="22" t="s">
        <v>97</v>
      </c>
      <c r="AG158" s="22" t="s">
        <v>97</v>
      </c>
      <c r="AH158" s="22" t="s">
        <v>97</v>
      </c>
      <c r="AI158" s="22" t="s">
        <v>97</v>
      </c>
      <c r="AJ158" s="22" t="s">
        <v>97</v>
      </c>
      <c r="AK158" s="22" t="s">
        <v>97</v>
      </c>
      <c r="AL158" s="22" t="s">
        <v>97</v>
      </c>
      <c r="AM158" s="22" t="s">
        <v>97</v>
      </c>
      <c r="AN158" s="22" t="s">
        <v>97</v>
      </c>
      <c r="AO158" s="22" t="s">
        <v>97</v>
      </c>
      <c r="AP158" s="22" t="s">
        <v>97</v>
      </c>
      <c r="AQ158" s="22" t="s">
        <v>97</v>
      </c>
      <c r="AR158" s="22" t="s">
        <v>97</v>
      </c>
      <c r="AS158" s="19" t="s">
        <v>49</v>
      </c>
      <c r="AT158" s="1"/>
      <c r="AU158" s="1"/>
      <c r="AV158" s="1"/>
      <c r="AW158" s="1"/>
      <c r="AX158" s="1"/>
    </row>
    <row r="159" spans="1:50" outlineLevel="1">
      <c r="A159" s="10" t="s">
        <v>104</v>
      </c>
      <c r="B159" s="10" t="s">
        <v>42</v>
      </c>
      <c r="C159" s="10" t="s">
        <v>133</v>
      </c>
      <c r="D159" s="10" t="s">
        <v>89</v>
      </c>
      <c r="E159" s="18"/>
      <c r="F159" s="18"/>
      <c r="G159" s="18"/>
      <c r="H159" s="18"/>
      <c r="I159" s="18"/>
      <c r="J159" s="18"/>
      <c r="L159" s="18"/>
      <c r="M159" s="18"/>
      <c r="N159" s="18"/>
      <c r="O159" s="18"/>
      <c r="P159" s="18"/>
      <c r="Q159" s="18"/>
      <c r="R159" s="18"/>
      <c r="S159" s="18"/>
      <c r="T159" s="23" t="s">
        <v>97</v>
      </c>
      <c r="U159" s="18"/>
      <c r="V159" s="23" t="s">
        <v>97</v>
      </c>
      <c r="W159" s="18"/>
      <c r="X159" s="18"/>
      <c r="Y159" s="1"/>
      <c r="Z159" s="1"/>
      <c r="AA159" s="1"/>
      <c r="AB159" s="1"/>
      <c r="AC159" s="22" t="s">
        <v>97</v>
      </c>
      <c r="AD159" s="22" t="s">
        <v>97</v>
      </c>
      <c r="AE159" s="22" t="s">
        <v>97</v>
      </c>
      <c r="AF159" s="22" t="s">
        <v>97</v>
      </c>
      <c r="AG159" s="22" t="s">
        <v>97</v>
      </c>
      <c r="AH159" s="22" t="s">
        <v>97</v>
      </c>
      <c r="AI159" s="22" t="s">
        <v>97</v>
      </c>
      <c r="AJ159" s="22" t="s">
        <v>97</v>
      </c>
      <c r="AK159" s="22" t="s">
        <v>97</v>
      </c>
      <c r="AL159" s="22" t="s">
        <v>97</v>
      </c>
      <c r="AM159" s="22" t="s">
        <v>97</v>
      </c>
      <c r="AN159" s="22" t="s">
        <v>97</v>
      </c>
      <c r="AO159" s="22" t="s">
        <v>97</v>
      </c>
      <c r="AP159" s="22" t="s">
        <v>97</v>
      </c>
      <c r="AQ159" s="22" t="s">
        <v>97</v>
      </c>
      <c r="AR159" s="22" t="s">
        <v>97</v>
      </c>
      <c r="AS159" s="19" t="s">
        <v>49</v>
      </c>
      <c r="AT159" s="1"/>
      <c r="AU159" s="1"/>
      <c r="AV159" s="1"/>
      <c r="AW159" s="1"/>
      <c r="AX159" s="1"/>
    </row>
    <row r="160" spans="1:50" outlineLevel="1">
      <c r="A160" s="10" t="s">
        <v>104</v>
      </c>
      <c r="B160" s="10" t="s">
        <v>42</v>
      </c>
      <c r="C160" s="24" t="s">
        <v>135</v>
      </c>
      <c r="D160" s="10" t="s">
        <v>92</v>
      </c>
      <c r="E160" s="18"/>
      <c r="F160" s="18"/>
      <c r="G160" s="18"/>
      <c r="H160" s="18"/>
      <c r="I160" s="18"/>
      <c r="J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9" t="s">
        <v>49</v>
      </c>
      <c r="AT160" s="1"/>
      <c r="AU160" s="1"/>
      <c r="AV160" s="1"/>
      <c r="AW160" s="1"/>
      <c r="AX160" s="1"/>
    </row>
    <row r="161" spans="1:50" outlineLevel="1">
      <c r="A161" s="20" t="s">
        <v>246</v>
      </c>
      <c r="B161" s="20" t="s">
        <v>246</v>
      </c>
      <c r="C161" s="20" t="s">
        <v>254</v>
      </c>
      <c r="D161" s="20" t="s">
        <v>48</v>
      </c>
      <c r="E161" s="19" t="s">
        <v>48</v>
      </c>
      <c r="F161" s="19" t="s">
        <v>48</v>
      </c>
      <c r="G161" s="19" t="s">
        <v>48</v>
      </c>
      <c r="H161" s="19" t="s">
        <v>48</v>
      </c>
      <c r="I161" s="19" t="s">
        <v>48</v>
      </c>
      <c r="J161" s="19" t="s">
        <v>48</v>
      </c>
      <c r="K161" s="21" t="s">
        <v>48</v>
      </c>
      <c r="L161" s="19" t="s">
        <v>48</v>
      </c>
      <c r="M161" s="19" t="s">
        <v>48</v>
      </c>
      <c r="N161" s="19" t="s">
        <v>48</v>
      </c>
      <c r="O161" s="19" t="s">
        <v>48</v>
      </c>
      <c r="P161" s="19" t="s">
        <v>48</v>
      </c>
      <c r="Q161" s="19" t="s">
        <v>48</v>
      </c>
      <c r="R161" s="19" t="s">
        <v>48</v>
      </c>
      <c r="S161" s="19" t="s">
        <v>48</v>
      </c>
      <c r="T161" s="19" t="s">
        <v>48</v>
      </c>
      <c r="U161" s="19" t="s">
        <v>48</v>
      </c>
      <c r="V161" s="19"/>
      <c r="W161" s="19" t="s">
        <v>48</v>
      </c>
      <c r="X161" s="19" t="s">
        <v>48</v>
      </c>
      <c r="Y161" s="19" t="s">
        <v>48</v>
      </c>
      <c r="Z161" s="19" t="s">
        <v>48</v>
      </c>
      <c r="AA161" s="19" t="s">
        <v>48</v>
      </c>
      <c r="AB161" s="19" t="s">
        <v>48</v>
      </c>
      <c r="AC161" s="19" t="s">
        <v>48</v>
      </c>
      <c r="AD161" s="19" t="s">
        <v>48</v>
      </c>
      <c r="AE161" s="19" t="s">
        <v>48</v>
      </c>
      <c r="AF161" s="19" t="s">
        <v>48</v>
      </c>
      <c r="AG161" s="19" t="s">
        <v>48</v>
      </c>
      <c r="AH161" s="19" t="s">
        <v>48</v>
      </c>
      <c r="AI161" s="19" t="s">
        <v>48</v>
      </c>
      <c r="AJ161" s="19" t="s">
        <v>48</v>
      </c>
      <c r="AK161" s="19" t="s">
        <v>48</v>
      </c>
      <c r="AL161" s="19" t="s">
        <v>48</v>
      </c>
      <c r="AM161" s="19" t="s">
        <v>48</v>
      </c>
      <c r="AN161" s="19" t="s">
        <v>48</v>
      </c>
      <c r="AO161" s="19" t="s">
        <v>48</v>
      </c>
      <c r="AP161" s="19" t="s">
        <v>48</v>
      </c>
      <c r="AQ161" s="19" t="s">
        <v>48</v>
      </c>
      <c r="AR161" s="19" t="s">
        <v>48</v>
      </c>
      <c r="AS161" s="19" t="s">
        <v>49</v>
      </c>
      <c r="AT161" s="1"/>
      <c r="AU161" s="1"/>
      <c r="AV161" s="1"/>
      <c r="AW161" s="1"/>
      <c r="AX161" s="1"/>
    </row>
    <row r="162" spans="1:50" outlineLevel="1">
      <c r="A162" s="10" t="s">
        <v>286</v>
      </c>
      <c r="B162" s="10" t="s">
        <v>42</v>
      </c>
      <c r="C162" s="10" t="s">
        <v>10</v>
      </c>
      <c r="D162" s="10" t="s">
        <v>223</v>
      </c>
      <c r="E162" s="5"/>
      <c r="F162" s="5"/>
      <c r="G162" s="5"/>
      <c r="H162" s="5" t="s">
        <v>97</v>
      </c>
      <c r="I162" s="5">
        <v>8.3000000000000007</v>
      </c>
      <c r="J162" s="5">
        <v>13.5</v>
      </c>
      <c r="L162" s="5">
        <v>16.3</v>
      </c>
      <c r="M162" s="5">
        <v>27</v>
      </c>
      <c r="N162" s="5">
        <v>52.4</v>
      </c>
      <c r="O162" s="5">
        <v>70</v>
      </c>
      <c r="P162" s="5"/>
      <c r="Q162" s="5">
        <v>117</v>
      </c>
      <c r="R162" s="5"/>
      <c r="S162" s="5" t="s">
        <v>97</v>
      </c>
      <c r="T162" s="5"/>
      <c r="U162" s="5" t="s">
        <v>97</v>
      </c>
      <c r="V162" s="5"/>
      <c r="W162" s="5" t="s">
        <v>97</v>
      </c>
      <c r="X162" s="5" t="s">
        <v>97</v>
      </c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9" t="s">
        <v>49</v>
      </c>
      <c r="AT162" s="1"/>
      <c r="AU162" s="1"/>
      <c r="AV162" s="1"/>
      <c r="AW162" s="1"/>
      <c r="AX162" s="1"/>
    </row>
    <row r="163" spans="1:50" outlineLevel="1">
      <c r="A163" s="10" t="s">
        <v>286</v>
      </c>
      <c r="B163" s="10" t="s">
        <v>42</v>
      </c>
      <c r="C163" s="10" t="s">
        <v>176</v>
      </c>
      <c r="D163" s="10" t="s">
        <v>204</v>
      </c>
      <c r="E163" s="6"/>
      <c r="F163" s="6"/>
      <c r="G163" s="6"/>
      <c r="H163" s="6">
        <v>6.38</v>
      </c>
      <c r="I163" s="6">
        <v>6.67</v>
      </c>
      <c r="J163" s="6">
        <v>8.59</v>
      </c>
      <c r="L163" s="6">
        <v>20.5</v>
      </c>
      <c r="M163" s="6">
        <v>22.5</v>
      </c>
      <c r="N163" s="6">
        <v>26.8</v>
      </c>
      <c r="O163" s="6">
        <v>34.6</v>
      </c>
      <c r="P163" s="6"/>
      <c r="Q163" s="6">
        <v>41.7</v>
      </c>
      <c r="R163" s="5">
        <v>52.8</v>
      </c>
      <c r="S163" s="6">
        <v>66.2</v>
      </c>
      <c r="T163" s="6"/>
      <c r="U163" s="6">
        <v>94.6</v>
      </c>
      <c r="V163" s="6"/>
      <c r="W163" s="6">
        <v>147.80000000000001</v>
      </c>
      <c r="X163" s="6">
        <v>193.7</v>
      </c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9" t="s">
        <v>49</v>
      </c>
      <c r="AT163" s="1"/>
      <c r="AU163" s="1"/>
      <c r="AV163" s="1"/>
      <c r="AW163" s="1"/>
      <c r="AX163" s="1"/>
    </row>
    <row r="164" spans="1:50" outlineLevel="1">
      <c r="A164" s="10" t="s">
        <v>286</v>
      </c>
      <c r="B164" s="10" t="s">
        <v>42</v>
      </c>
      <c r="C164" s="10" t="s">
        <v>191</v>
      </c>
      <c r="D164" s="10" t="s">
        <v>222</v>
      </c>
      <c r="E164" s="6"/>
      <c r="F164" s="6"/>
      <c r="G164" s="6"/>
      <c r="H164" s="6">
        <v>11.7</v>
      </c>
      <c r="I164" s="6">
        <v>13.5</v>
      </c>
      <c r="J164" s="6">
        <v>19</v>
      </c>
      <c r="L164" s="6">
        <v>33.6</v>
      </c>
      <c r="M164" s="6">
        <v>44.3</v>
      </c>
      <c r="N164" s="6">
        <v>56</v>
      </c>
      <c r="O164" s="6">
        <v>58.7</v>
      </c>
      <c r="P164" s="6"/>
      <c r="Q164" s="6">
        <v>79.099999999999994</v>
      </c>
      <c r="R164" s="5">
        <v>122</v>
      </c>
      <c r="S164" s="6">
        <v>121.8</v>
      </c>
      <c r="T164" s="6"/>
      <c r="U164" s="6">
        <v>183.4</v>
      </c>
      <c r="V164" s="6"/>
      <c r="W164" s="6">
        <v>294</v>
      </c>
      <c r="X164" s="6">
        <v>398.3</v>
      </c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9" t="s">
        <v>49</v>
      </c>
      <c r="AT164" s="1"/>
      <c r="AU164" s="1"/>
      <c r="AV164" s="1"/>
      <c r="AW164" s="1"/>
      <c r="AX164" s="1"/>
    </row>
    <row r="165" spans="1:50" outlineLevel="1">
      <c r="A165" s="10" t="s">
        <v>286</v>
      </c>
      <c r="B165" s="10" t="s">
        <v>42</v>
      </c>
      <c r="C165" s="10" t="s">
        <v>192</v>
      </c>
      <c r="D165" s="10" t="s">
        <v>206</v>
      </c>
      <c r="E165" s="6"/>
      <c r="F165" s="6"/>
      <c r="G165" s="6"/>
      <c r="H165" s="6">
        <v>11.7</v>
      </c>
      <c r="I165" s="6">
        <v>13.5</v>
      </c>
      <c r="J165" s="6">
        <v>19</v>
      </c>
      <c r="L165" s="6">
        <v>33.6</v>
      </c>
      <c r="M165" s="6">
        <v>59.4</v>
      </c>
      <c r="N165" s="6">
        <v>83.3</v>
      </c>
      <c r="O165" s="6">
        <v>86.8</v>
      </c>
      <c r="P165" s="6"/>
      <c r="Q165" s="6">
        <v>113.4</v>
      </c>
      <c r="R165" s="5">
        <v>194</v>
      </c>
      <c r="S165" s="6">
        <v>193.9</v>
      </c>
      <c r="T165" s="6"/>
      <c r="U165" s="6">
        <v>300.3</v>
      </c>
      <c r="V165" s="6"/>
      <c r="W165" s="6">
        <v>471.8</v>
      </c>
      <c r="X165" s="6">
        <v>636.29999999999995</v>
      </c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9" t="s">
        <v>49</v>
      </c>
      <c r="AT165" s="1"/>
      <c r="AU165" s="1"/>
      <c r="AV165" s="1"/>
      <c r="AW165" s="1"/>
      <c r="AX165" s="1"/>
    </row>
    <row r="166" spans="1:50" outlineLevel="1">
      <c r="A166" s="10" t="s">
        <v>286</v>
      </c>
      <c r="B166" s="10" t="s">
        <v>42</v>
      </c>
      <c r="C166" s="10" t="s">
        <v>25</v>
      </c>
      <c r="D166" s="10" t="s">
        <v>207</v>
      </c>
      <c r="E166" s="6"/>
      <c r="F166" s="6"/>
      <c r="G166" s="6"/>
      <c r="H166" s="6">
        <v>21.3</v>
      </c>
      <c r="I166" s="6">
        <v>22</v>
      </c>
      <c r="J166" s="6">
        <v>27.2</v>
      </c>
      <c r="L166" s="6">
        <v>33.4</v>
      </c>
      <c r="M166" s="6">
        <v>39.799999999999997</v>
      </c>
      <c r="N166" s="6">
        <v>49.7</v>
      </c>
      <c r="O166" s="6">
        <v>61.8</v>
      </c>
      <c r="P166" s="6"/>
      <c r="Q166" s="6">
        <v>78.599999999999994</v>
      </c>
      <c r="R166" s="1">
        <v>129</v>
      </c>
      <c r="S166" s="6">
        <v>154.19999999999999</v>
      </c>
      <c r="T166" s="6"/>
      <c r="U166" s="6">
        <v>273.60000000000002</v>
      </c>
      <c r="V166" s="6"/>
      <c r="W166" s="6">
        <v>417</v>
      </c>
      <c r="X166" s="6">
        <v>576.6</v>
      </c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9" t="s">
        <v>49</v>
      </c>
      <c r="AT166" s="1"/>
      <c r="AU166" s="1"/>
      <c r="AV166" s="1"/>
      <c r="AW166" s="1"/>
      <c r="AX166" s="1"/>
    </row>
    <row r="167" spans="1:50" outlineLevel="1">
      <c r="A167" s="10" t="s">
        <v>286</v>
      </c>
      <c r="B167" s="10" t="s">
        <v>42</v>
      </c>
      <c r="C167" s="10" t="s">
        <v>178</v>
      </c>
      <c r="D167" s="10" t="s">
        <v>208</v>
      </c>
      <c r="E167" s="6"/>
      <c r="F167" s="6"/>
      <c r="G167" s="6"/>
      <c r="H167" s="6">
        <v>31.1</v>
      </c>
      <c r="I167" s="6">
        <v>33.5</v>
      </c>
      <c r="J167" s="6">
        <v>41.1</v>
      </c>
      <c r="L167" s="6">
        <v>50.4</v>
      </c>
      <c r="M167" s="6">
        <v>63.6</v>
      </c>
      <c r="N167" s="6">
        <v>84.6</v>
      </c>
      <c r="O167" s="6">
        <v>111</v>
      </c>
      <c r="P167" s="6"/>
      <c r="Q167" s="6">
        <v>151.80000000000001</v>
      </c>
      <c r="R167" s="1">
        <v>268</v>
      </c>
      <c r="S167" s="6">
        <v>339.6</v>
      </c>
      <c r="T167" s="6"/>
      <c r="U167" s="6">
        <v>519</v>
      </c>
      <c r="V167" s="6"/>
      <c r="W167" s="6">
        <v>897</v>
      </c>
      <c r="X167" s="6">
        <v>1249.2</v>
      </c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9" t="s">
        <v>49</v>
      </c>
      <c r="AT167" s="1"/>
      <c r="AU167" s="1"/>
      <c r="AV167" s="1"/>
      <c r="AW167" s="1"/>
      <c r="AX167" s="1"/>
    </row>
    <row r="168" spans="1:50" outlineLevel="1">
      <c r="A168" s="10" t="s">
        <v>286</v>
      </c>
      <c r="B168" s="10" t="s">
        <v>42</v>
      </c>
      <c r="C168" s="10" t="s">
        <v>32</v>
      </c>
      <c r="D168" s="10" t="s">
        <v>209</v>
      </c>
      <c r="E168" s="6"/>
      <c r="F168" s="6"/>
      <c r="G168" s="6"/>
      <c r="H168" s="6">
        <v>26.7</v>
      </c>
      <c r="I168" s="6">
        <v>27.5</v>
      </c>
      <c r="J168" s="6">
        <v>34</v>
      </c>
      <c r="L168" s="6">
        <v>41.8</v>
      </c>
      <c r="M168" s="6">
        <v>49.7</v>
      </c>
      <c r="N168" s="6">
        <v>62.4</v>
      </c>
      <c r="O168" s="6">
        <v>76.8</v>
      </c>
      <c r="P168" s="6"/>
      <c r="Q168" s="6">
        <v>97.2</v>
      </c>
      <c r="R168" s="1">
        <v>160</v>
      </c>
      <c r="S168" s="6">
        <v>192.6</v>
      </c>
      <c r="T168" s="6"/>
      <c r="U168" s="6">
        <v>342</v>
      </c>
      <c r="V168" s="6"/>
      <c r="W168" s="6">
        <v>520.20000000000005</v>
      </c>
      <c r="X168" s="6">
        <v>718.8</v>
      </c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9" t="s">
        <v>49</v>
      </c>
      <c r="AT168" s="1"/>
      <c r="AU168" s="1"/>
      <c r="AV168" s="1"/>
      <c r="AW168" s="1"/>
      <c r="AX168" s="1"/>
    </row>
    <row r="169" spans="1:50" outlineLevel="1">
      <c r="A169" s="10" t="s">
        <v>286</v>
      </c>
      <c r="B169" s="10" t="s">
        <v>42</v>
      </c>
      <c r="C169" s="10" t="s">
        <v>179</v>
      </c>
      <c r="D169" s="10" t="s">
        <v>210</v>
      </c>
      <c r="E169" s="6"/>
      <c r="F169" s="6"/>
      <c r="G169" s="6"/>
      <c r="H169" s="6">
        <v>40.700000000000003</v>
      </c>
      <c r="I169" s="6">
        <v>44</v>
      </c>
      <c r="J169" s="6">
        <v>53.9</v>
      </c>
      <c r="L169" s="6">
        <v>66.8</v>
      </c>
      <c r="M169" s="6">
        <v>83.2</v>
      </c>
      <c r="N169" s="6">
        <v>110.9</v>
      </c>
      <c r="O169" s="6">
        <v>147.4</v>
      </c>
      <c r="P169" s="6"/>
      <c r="Q169" s="6">
        <v>199.1</v>
      </c>
      <c r="R169" s="1">
        <v>334</v>
      </c>
      <c r="S169" s="6">
        <v>444.8</v>
      </c>
      <c r="T169" s="6"/>
      <c r="U169" s="6">
        <v>681</v>
      </c>
      <c r="V169" s="6"/>
      <c r="W169" s="6">
        <v>1177.5</v>
      </c>
      <c r="X169" s="6">
        <v>1641.2</v>
      </c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9" t="s">
        <v>49</v>
      </c>
      <c r="AT169" s="1"/>
      <c r="AU169" s="1"/>
      <c r="AV169" s="1"/>
      <c r="AW169" s="1"/>
      <c r="AX169" s="1"/>
    </row>
    <row r="170" spans="1:50" outlineLevel="1">
      <c r="A170" s="10" t="s">
        <v>286</v>
      </c>
      <c r="B170" s="10" t="s">
        <v>42</v>
      </c>
      <c r="C170" s="24" t="s">
        <v>135</v>
      </c>
      <c r="D170" s="10" t="s">
        <v>92</v>
      </c>
      <c r="E170" s="18"/>
      <c r="F170" s="18"/>
      <c r="G170" s="18"/>
      <c r="H170" s="18"/>
      <c r="I170" s="18"/>
      <c r="J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9" t="s">
        <v>49</v>
      </c>
      <c r="AT170" s="1"/>
      <c r="AU170" s="1"/>
      <c r="AV170" s="1"/>
      <c r="AW170" s="1"/>
      <c r="AX170" s="1"/>
    </row>
    <row r="171" spans="1:50" outlineLevel="1">
      <c r="A171" s="20" t="s">
        <v>254</v>
      </c>
      <c r="B171" s="20" t="s">
        <v>255</v>
      </c>
      <c r="C171" s="20" t="s">
        <v>258</v>
      </c>
      <c r="D171" s="20" t="s">
        <v>48</v>
      </c>
      <c r="E171" s="19" t="s">
        <v>48</v>
      </c>
      <c r="F171" s="19" t="s">
        <v>48</v>
      </c>
      <c r="G171" s="19" t="s">
        <v>48</v>
      </c>
      <c r="H171" s="19" t="s">
        <v>48</v>
      </c>
      <c r="I171" s="19" t="s">
        <v>48</v>
      </c>
      <c r="J171" s="19" t="s">
        <v>48</v>
      </c>
      <c r="K171" s="21" t="s">
        <v>48</v>
      </c>
      <c r="L171" s="19" t="s">
        <v>48</v>
      </c>
      <c r="M171" s="19" t="s">
        <v>48</v>
      </c>
      <c r="N171" s="19" t="s">
        <v>48</v>
      </c>
      <c r="O171" s="19" t="s">
        <v>48</v>
      </c>
      <c r="P171" s="19" t="s">
        <v>48</v>
      </c>
      <c r="Q171" s="19" t="s">
        <v>48</v>
      </c>
      <c r="R171" s="19" t="s">
        <v>48</v>
      </c>
      <c r="S171" s="19" t="s">
        <v>48</v>
      </c>
      <c r="T171" s="19" t="s">
        <v>48</v>
      </c>
      <c r="U171" s="19" t="s">
        <v>48</v>
      </c>
      <c r="V171" s="19"/>
      <c r="W171" s="19" t="s">
        <v>48</v>
      </c>
      <c r="X171" s="19" t="s">
        <v>48</v>
      </c>
      <c r="Y171" s="19" t="s">
        <v>48</v>
      </c>
      <c r="Z171" s="19" t="s">
        <v>48</v>
      </c>
      <c r="AA171" s="19" t="s">
        <v>48</v>
      </c>
      <c r="AB171" s="19" t="s">
        <v>48</v>
      </c>
      <c r="AC171" s="19" t="s">
        <v>48</v>
      </c>
      <c r="AD171" s="19" t="s">
        <v>48</v>
      </c>
      <c r="AE171" s="19" t="s">
        <v>48</v>
      </c>
      <c r="AF171" s="19" t="s">
        <v>48</v>
      </c>
      <c r="AG171" s="19" t="s">
        <v>48</v>
      </c>
      <c r="AH171" s="19" t="s">
        <v>48</v>
      </c>
      <c r="AI171" s="19" t="s">
        <v>48</v>
      </c>
      <c r="AJ171" s="19" t="s">
        <v>48</v>
      </c>
      <c r="AK171" s="19" t="s">
        <v>48</v>
      </c>
      <c r="AL171" s="19" t="s">
        <v>48</v>
      </c>
      <c r="AM171" s="19" t="s">
        <v>48</v>
      </c>
      <c r="AN171" s="19" t="s">
        <v>48</v>
      </c>
      <c r="AO171" s="19" t="s">
        <v>48</v>
      </c>
      <c r="AP171" s="19" t="s">
        <v>48</v>
      </c>
      <c r="AQ171" s="19" t="s">
        <v>48</v>
      </c>
      <c r="AR171" s="19" t="s">
        <v>48</v>
      </c>
      <c r="AS171" s="19" t="s">
        <v>49</v>
      </c>
      <c r="AT171" s="1"/>
      <c r="AU171" s="1"/>
      <c r="AV171" s="1"/>
      <c r="AW171" s="1"/>
      <c r="AX171" s="1"/>
    </row>
    <row r="172" spans="1:50" outlineLevel="1">
      <c r="A172" s="10" t="s">
        <v>287</v>
      </c>
      <c r="B172" s="10" t="s">
        <v>42</v>
      </c>
      <c r="C172" s="10" t="s">
        <v>10</v>
      </c>
      <c r="D172" s="10" t="s">
        <v>223</v>
      </c>
      <c r="E172" s="5"/>
      <c r="F172" s="5"/>
      <c r="G172" s="5"/>
      <c r="H172" s="5">
        <v>6.34</v>
      </c>
      <c r="I172" s="5">
        <v>7.49</v>
      </c>
      <c r="J172" s="5">
        <v>11</v>
      </c>
      <c r="L172" s="5">
        <v>18.7</v>
      </c>
      <c r="M172" s="5">
        <v>25.4</v>
      </c>
      <c r="N172" s="5">
        <v>42</v>
      </c>
      <c r="O172" s="5">
        <v>62.8</v>
      </c>
      <c r="P172" s="5"/>
      <c r="Q172" s="5">
        <v>105</v>
      </c>
      <c r="R172" s="5"/>
      <c r="S172" s="5" t="s">
        <v>97</v>
      </c>
      <c r="T172" s="5"/>
      <c r="U172" s="5" t="s">
        <v>97</v>
      </c>
      <c r="V172" s="5"/>
      <c r="W172" s="5" t="s">
        <v>97</v>
      </c>
      <c r="X172" s="5" t="s">
        <v>97</v>
      </c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9" t="s">
        <v>49</v>
      </c>
      <c r="AT172" s="1"/>
      <c r="AU172" s="1"/>
      <c r="AV172" s="1"/>
      <c r="AW172" s="1"/>
      <c r="AX172" s="1"/>
    </row>
    <row r="173" spans="1:50" outlineLevel="1">
      <c r="A173" s="10" t="s">
        <v>287</v>
      </c>
      <c r="B173" s="10" t="s">
        <v>42</v>
      </c>
      <c r="C173" s="10" t="s">
        <v>176</v>
      </c>
      <c r="D173" s="10" t="s">
        <v>204</v>
      </c>
      <c r="E173" s="6"/>
      <c r="F173" s="6"/>
      <c r="G173" s="6"/>
      <c r="H173" s="6">
        <v>4.2300000000000004</v>
      </c>
      <c r="I173" s="6">
        <v>5.14</v>
      </c>
      <c r="J173" s="6">
        <v>5.81</v>
      </c>
      <c r="L173" s="6">
        <v>9.94</v>
      </c>
      <c r="M173" s="6">
        <v>13.1</v>
      </c>
      <c r="N173" s="6">
        <v>27.9</v>
      </c>
      <c r="O173" s="6">
        <v>33.1</v>
      </c>
      <c r="P173" s="6"/>
      <c r="Q173" s="6">
        <v>44.4</v>
      </c>
      <c r="R173" s="5">
        <v>81</v>
      </c>
      <c r="S173" s="6">
        <v>80.599999999999994</v>
      </c>
      <c r="T173" s="6"/>
      <c r="U173" s="6">
        <v>136.80000000000001</v>
      </c>
      <c r="V173" s="6"/>
      <c r="W173" s="6">
        <v>216.5</v>
      </c>
      <c r="X173" s="6" t="s">
        <v>97</v>
      </c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9" t="s">
        <v>49</v>
      </c>
      <c r="AT173" s="1"/>
      <c r="AU173" s="1"/>
      <c r="AV173" s="1"/>
      <c r="AW173" s="1"/>
      <c r="AX173" s="1"/>
    </row>
    <row r="174" spans="1:50" outlineLevel="1">
      <c r="A174" s="10" t="s">
        <v>287</v>
      </c>
      <c r="B174" s="10" t="s">
        <v>42</v>
      </c>
      <c r="C174" s="10" t="s">
        <v>191</v>
      </c>
      <c r="D174" s="10" t="s">
        <v>222</v>
      </c>
      <c r="E174" s="6"/>
      <c r="F174" s="6"/>
      <c r="G174" s="6"/>
      <c r="H174" s="6">
        <v>11.6</v>
      </c>
      <c r="I174" s="6">
        <v>13.5</v>
      </c>
      <c r="J174" s="6">
        <v>18.8</v>
      </c>
      <c r="L174" s="6">
        <v>33.200000000000003</v>
      </c>
      <c r="M174" s="6">
        <v>55.2</v>
      </c>
      <c r="N174" s="6">
        <v>66.099999999999994</v>
      </c>
      <c r="O174" s="6">
        <v>70.7</v>
      </c>
      <c r="P174" s="6"/>
      <c r="Q174" s="6">
        <v>101.5</v>
      </c>
      <c r="R174" s="5">
        <v>175</v>
      </c>
      <c r="S174" s="6">
        <v>194.6</v>
      </c>
      <c r="T174" s="6"/>
      <c r="U174" s="6">
        <v>299.60000000000002</v>
      </c>
      <c r="V174" s="6"/>
      <c r="W174" s="6">
        <v>494.9</v>
      </c>
      <c r="X174" s="6">
        <v>773.5</v>
      </c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9" t="s">
        <v>49</v>
      </c>
      <c r="AT174" s="1"/>
      <c r="AU174" s="1"/>
      <c r="AV174" s="1"/>
      <c r="AW174" s="1"/>
      <c r="AX174" s="1"/>
    </row>
    <row r="175" spans="1:50" outlineLevel="1">
      <c r="A175" s="10" t="s">
        <v>287</v>
      </c>
      <c r="B175" s="10" t="s">
        <v>42</v>
      </c>
      <c r="C175" s="10" t="s">
        <v>192</v>
      </c>
      <c r="D175" s="10" t="s">
        <v>206</v>
      </c>
      <c r="E175" s="6"/>
      <c r="F175" s="6"/>
      <c r="G175" s="6"/>
      <c r="H175" s="6">
        <v>11.6</v>
      </c>
      <c r="I175" s="6">
        <v>13.5</v>
      </c>
      <c r="J175" s="6">
        <v>18.8</v>
      </c>
      <c r="L175" s="6">
        <v>67.8</v>
      </c>
      <c r="M175" s="6">
        <v>67.8</v>
      </c>
      <c r="N175" s="6">
        <v>93.1</v>
      </c>
      <c r="O175" s="6">
        <v>99.4</v>
      </c>
      <c r="P175" s="6"/>
      <c r="Q175" s="6">
        <v>137.19999999999999</v>
      </c>
      <c r="R175" s="5">
        <v>281</v>
      </c>
      <c r="S175" s="6">
        <v>288.39999999999998</v>
      </c>
      <c r="T175" s="6"/>
      <c r="U175" s="6">
        <v>488.6</v>
      </c>
      <c r="V175" s="6"/>
      <c r="W175" s="6">
        <v>906.5</v>
      </c>
      <c r="X175" s="6">
        <v>1220.0999999999999</v>
      </c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9" t="s">
        <v>49</v>
      </c>
      <c r="AT175" s="1"/>
      <c r="AU175" s="1"/>
      <c r="AV175" s="1"/>
      <c r="AW175" s="1"/>
      <c r="AX175" s="1"/>
    </row>
    <row r="176" spans="1:50" outlineLevel="1">
      <c r="A176" s="10" t="s">
        <v>287</v>
      </c>
      <c r="B176" s="10" t="s">
        <v>42</v>
      </c>
      <c r="C176" s="10" t="s">
        <v>25</v>
      </c>
      <c r="D176" s="10" t="s">
        <v>207</v>
      </c>
      <c r="E176" s="6"/>
      <c r="F176" s="6"/>
      <c r="G176" s="6"/>
      <c r="H176" s="6">
        <v>18.100000000000001</v>
      </c>
      <c r="I176" s="6">
        <v>19.7</v>
      </c>
      <c r="J176" s="6">
        <v>21.7</v>
      </c>
      <c r="L176" s="6">
        <v>28.5</v>
      </c>
      <c r="M176" s="6">
        <v>34.299999999999997</v>
      </c>
      <c r="N176" s="6">
        <v>47.5</v>
      </c>
      <c r="O176" s="6">
        <v>55.6</v>
      </c>
      <c r="P176" s="6"/>
      <c r="Q176" s="6">
        <v>76.2</v>
      </c>
      <c r="R176" s="5">
        <v>130</v>
      </c>
      <c r="S176" s="6">
        <v>177.6</v>
      </c>
      <c r="T176" s="6"/>
      <c r="U176" s="6">
        <v>339.6</v>
      </c>
      <c r="V176" s="6"/>
      <c r="W176" s="6">
        <v>804.6</v>
      </c>
      <c r="X176" s="6">
        <v>1267.2</v>
      </c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9" t="s">
        <v>49</v>
      </c>
      <c r="AT176" s="1"/>
      <c r="AU176" s="1"/>
      <c r="AV176" s="1"/>
      <c r="AW176" s="1"/>
      <c r="AX176" s="1"/>
    </row>
    <row r="177" spans="1:50" outlineLevel="1">
      <c r="A177" s="10" t="s">
        <v>287</v>
      </c>
      <c r="B177" s="10" t="s">
        <v>42</v>
      </c>
      <c r="C177" s="10" t="s">
        <v>178</v>
      </c>
      <c r="D177" s="10" t="s">
        <v>208</v>
      </c>
      <c r="E177" s="6"/>
      <c r="F177" s="6"/>
      <c r="G177" s="6"/>
      <c r="H177" s="6">
        <v>27.5</v>
      </c>
      <c r="I177" s="6">
        <v>29.7</v>
      </c>
      <c r="J177" s="6">
        <v>35.4</v>
      </c>
      <c r="L177" s="6">
        <v>45.2</v>
      </c>
      <c r="M177" s="6">
        <v>60.6</v>
      </c>
      <c r="N177" s="6">
        <v>81</v>
      </c>
      <c r="O177" s="6">
        <v>102.6</v>
      </c>
      <c r="P177" s="6"/>
      <c r="Q177" s="6">
        <v>142.19999999999999</v>
      </c>
      <c r="R177" s="5">
        <v>255</v>
      </c>
      <c r="S177" s="6">
        <v>339</v>
      </c>
      <c r="T177" s="6"/>
      <c r="U177" s="6">
        <v>640.20000000000005</v>
      </c>
      <c r="V177" s="6"/>
      <c r="W177" s="6">
        <v>1227</v>
      </c>
      <c r="X177" s="6" t="s">
        <v>97</v>
      </c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9" t="s">
        <v>49</v>
      </c>
      <c r="AT177" s="1"/>
      <c r="AU177" s="1"/>
      <c r="AV177" s="1"/>
      <c r="AW177" s="1"/>
      <c r="AX177" s="1"/>
    </row>
    <row r="178" spans="1:50" outlineLevel="1">
      <c r="A178" s="10" t="s">
        <v>287</v>
      </c>
      <c r="B178" s="10" t="s">
        <v>42</v>
      </c>
      <c r="C178" s="10" t="s">
        <v>32</v>
      </c>
      <c r="D178" s="10" t="s">
        <v>209</v>
      </c>
      <c r="E178" s="6"/>
      <c r="F178" s="6"/>
      <c r="G178" s="6"/>
      <c r="H178" s="6">
        <v>23.8</v>
      </c>
      <c r="I178" s="6">
        <v>26</v>
      </c>
      <c r="J178" s="6">
        <v>28.5</v>
      </c>
      <c r="L178" s="6">
        <v>37.4</v>
      </c>
      <c r="M178" s="6">
        <v>45</v>
      </c>
      <c r="N178" s="6">
        <v>62.2</v>
      </c>
      <c r="O178" s="6">
        <v>73.099999999999994</v>
      </c>
      <c r="P178" s="6"/>
      <c r="Q178" s="6">
        <v>100.2</v>
      </c>
      <c r="R178" s="5">
        <v>163</v>
      </c>
      <c r="S178" s="6">
        <v>230</v>
      </c>
      <c r="T178" s="6"/>
      <c r="U178" s="6">
        <v>440.4</v>
      </c>
      <c r="V178" s="6"/>
      <c r="W178" s="6">
        <v>1035.7</v>
      </c>
      <c r="X178" s="6">
        <v>1462.4</v>
      </c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9" t="s">
        <v>49</v>
      </c>
      <c r="AT178" s="1"/>
      <c r="AU178" s="1"/>
      <c r="AV178" s="1"/>
      <c r="AW178" s="1"/>
      <c r="AX178" s="1"/>
    </row>
    <row r="179" spans="1:50" outlineLevel="1">
      <c r="A179" s="10" t="s">
        <v>287</v>
      </c>
      <c r="B179" s="10" t="s">
        <v>42</v>
      </c>
      <c r="C179" s="10" t="s">
        <v>179</v>
      </c>
      <c r="D179" s="10" t="s">
        <v>210</v>
      </c>
      <c r="E179" s="6"/>
      <c r="F179" s="6"/>
      <c r="G179" s="6"/>
      <c r="H179" s="6">
        <v>36.200000000000003</v>
      </c>
      <c r="I179" s="6">
        <v>39</v>
      </c>
      <c r="J179" s="6">
        <v>46.4</v>
      </c>
      <c r="L179" s="6">
        <v>59.5</v>
      </c>
      <c r="M179" s="6">
        <v>80</v>
      </c>
      <c r="N179" s="6">
        <v>107.7</v>
      </c>
      <c r="O179" s="6">
        <v>134.19999999999999</v>
      </c>
      <c r="P179" s="6"/>
      <c r="Q179" s="6">
        <v>185.9</v>
      </c>
      <c r="R179" s="5">
        <v>318</v>
      </c>
      <c r="S179" s="6">
        <v>439.7</v>
      </c>
      <c r="T179" s="6"/>
      <c r="U179" s="6">
        <v>819.6</v>
      </c>
      <c r="V179" s="6"/>
      <c r="W179" s="6">
        <v>1574.4</v>
      </c>
      <c r="X179" s="6" t="s">
        <v>97</v>
      </c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9" t="s">
        <v>49</v>
      </c>
      <c r="AT179" s="1"/>
      <c r="AU179" s="1"/>
      <c r="AV179" s="1"/>
      <c r="AW179" s="1"/>
      <c r="AX179" s="1"/>
    </row>
    <row r="180" spans="1:50" outlineLevel="1">
      <c r="A180" s="10" t="s">
        <v>287</v>
      </c>
      <c r="B180" s="10" t="s">
        <v>42</v>
      </c>
      <c r="C180" s="24" t="s">
        <v>135</v>
      </c>
      <c r="D180" s="10" t="s">
        <v>92</v>
      </c>
      <c r="E180" s="18"/>
      <c r="F180" s="18"/>
      <c r="G180" s="18"/>
      <c r="H180" s="18"/>
      <c r="I180" s="18"/>
      <c r="J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9" t="s">
        <v>49</v>
      </c>
      <c r="AT180" s="1"/>
      <c r="AU180" s="1"/>
      <c r="AV180" s="1"/>
      <c r="AW180" s="1"/>
      <c r="AX180" s="1"/>
    </row>
    <row r="181" spans="1:50" outlineLevel="1">
      <c r="A181" s="20" t="s">
        <v>259</v>
      </c>
      <c r="B181" s="20" t="s">
        <v>251</v>
      </c>
      <c r="C181" s="20" t="s">
        <v>254</v>
      </c>
      <c r="D181" s="20" t="s">
        <v>48</v>
      </c>
      <c r="E181" s="19" t="s">
        <v>48</v>
      </c>
      <c r="F181" s="19" t="s">
        <v>48</v>
      </c>
      <c r="G181" s="19" t="s">
        <v>48</v>
      </c>
      <c r="H181" s="19" t="s">
        <v>48</v>
      </c>
      <c r="I181" s="19" t="s">
        <v>48</v>
      </c>
      <c r="J181" s="19" t="s">
        <v>48</v>
      </c>
      <c r="K181" s="21" t="s">
        <v>48</v>
      </c>
      <c r="L181" s="19" t="s">
        <v>48</v>
      </c>
      <c r="M181" s="19" t="s">
        <v>48</v>
      </c>
      <c r="N181" s="19" t="s">
        <v>48</v>
      </c>
      <c r="O181" s="19" t="s">
        <v>48</v>
      </c>
      <c r="P181" s="19" t="s">
        <v>48</v>
      </c>
      <c r="Q181" s="19" t="s">
        <v>48</v>
      </c>
      <c r="R181" s="19" t="s">
        <v>48</v>
      </c>
      <c r="S181" s="19" t="s">
        <v>48</v>
      </c>
      <c r="T181" s="19" t="s">
        <v>48</v>
      </c>
      <c r="U181" s="19" t="s">
        <v>48</v>
      </c>
      <c r="V181" s="19"/>
      <c r="W181" s="19" t="s">
        <v>48</v>
      </c>
      <c r="X181" s="19" t="s">
        <v>48</v>
      </c>
      <c r="Y181" s="19" t="s">
        <v>48</v>
      </c>
      <c r="Z181" s="19" t="s">
        <v>48</v>
      </c>
      <c r="AA181" s="19" t="s">
        <v>48</v>
      </c>
      <c r="AB181" s="19" t="s">
        <v>48</v>
      </c>
      <c r="AC181" s="19" t="s">
        <v>48</v>
      </c>
      <c r="AD181" s="19" t="s">
        <v>48</v>
      </c>
      <c r="AE181" s="19" t="s">
        <v>48</v>
      </c>
      <c r="AF181" s="19" t="s">
        <v>48</v>
      </c>
      <c r="AG181" s="19" t="s">
        <v>48</v>
      </c>
      <c r="AH181" s="19" t="s">
        <v>48</v>
      </c>
      <c r="AI181" s="19" t="s">
        <v>48</v>
      </c>
      <c r="AJ181" s="19" t="s">
        <v>48</v>
      </c>
      <c r="AK181" s="19" t="s">
        <v>48</v>
      </c>
      <c r="AL181" s="19" t="s">
        <v>48</v>
      </c>
      <c r="AM181" s="19" t="s">
        <v>48</v>
      </c>
      <c r="AN181" s="19" t="s">
        <v>48</v>
      </c>
      <c r="AO181" s="19" t="s">
        <v>48</v>
      </c>
      <c r="AP181" s="19" t="s">
        <v>48</v>
      </c>
      <c r="AQ181" s="19" t="s">
        <v>48</v>
      </c>
      <c r="AR181" s="19" t="s">
        <v>48</v>
      </c>
      <c r="AS181" s="19" t="s">
        <v>49</v>
      </c>
      <c r="AT181" s="1"/>
      <c r="AU181" s="1"/>
      <c r="AV181" s="1"/>
      <c r="AW181" s="1"/>
      <c r="AX181" s="1"/>
    </row>
    <row r="182" spans="1:50" outlineLevel="1">
      <c r="A182" s="10" t="s">
        <v>288</v>
      </c>
      <c r="B182" s="10" t="s">
        <v>42</v>
      </c>
      <c r="C182" s="10" t="s">
        <v>10</v>
      </c>
      <c r="D182" s="10" t="s">
        <v>223</v>
      </c>
      <c r="E182" s="1"/>
      <c r="F182" s="1"/>
      <c r="G182" s="1"/>
      <c r="H182" s="1">
        <v>5.99</v>
      </c>
      <c r="I182" s="1">
        <v>7.07</v>
      </c>
      <c r="J182" s="1">
        <v>10.5</v>
      </c>
      <c r="L182" s="1">
        <v>17.399999999999999</v>
      </c>
      <c r="M182" s="1">
        <v>20.6</v>
      </c>
      <c r="N182" s="1">
        <v>35.9</v>
      </c>
      <c r="O182" s="1">
        <v>42.7</v>
      </c>
      <c r="P182" s="1"/>
      <c r="Q182" s="1">
        <v>68.400000000000006</v>
      </c>
      <c r="R182" s="5" t="s">
        <v>97</v>
      </c>
      <c r="S182" s="5" t="s">
        <v>97</v>
      </c>
      <c r="T182" s="5"/>
      <c r="U182" s="5" t="s">
        <v>97</v>
      </c>
      <c r="V182" s="5"/>
      <c r="W182" s="5" t="s">
        <v>97</v>
      </c>
      <c r="X182" s="5" t="s">
        <v>97</v>
      </c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9" t="s">
        <v>49</v>
      </c>
      <c r="AT182" s="1"/>
      <c r="AU182" s="1"/>
      <c r="AV182" s="1"/>
      <c r="AW182" s="1"/>
      <c r="AX182" s="1"/>
    </row>
    <row r="183" spans="1:50" outlineLevel="1">
      <c r="A183" s="10" t="s">
        <v>288</v>
      </c>
      <c r="B183" s="10" t="s">
        <v>42</v>
      </c>
      <c r="C183" s="10" t="s">
        <v>176</v>
      </c>
      <c r="D183" s="10" t="s">
        <v>204</v>
      </c>
      <c r="E183" s="6"/>
      <c r="F183" s="6"/>
      <c r="G183" s="6"/>
      <c r="H183" s="6">
        <v>4.9000000000000004</v>
      </c>
      <c r="I183" s="6">
        <v>6.1</v>
      </c>
      <c r="J183" s="6">
        <v>7.15</v>
      </c>
      <c r="L183" s="6">
        <v>12.1</v>
      </c>
      <c r="M183" s="6">
        <v>14.8</v>
      </c>
      <c r="N183" s="6">
        <v>20.6</v>
      </c>
      <c r="O183" s="6">
        <v>26.7</v>
      </c>
      <c r="P183" s="6"/>
      <c r="Q183" s="6">
        <v>37.1</v>
      </c>
      <c r="R183" s="5">
        <v>71.599999999999994</v>
      </c>
      <c r="S183" s="6">
        <v>102.2</v>
      </c>
      <c r="T183" s="6"/>
      <c r="U183" s="6">
        <v>182.4</v>
      </c>
      <c r="V183" s="6"/>
      <c r="W183" s="5">
        <v>690</v>
      </c>
      <c r="X183" s="5">
        <v>880</v>
      </c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9" t="s">
        <v>49</v>
      </c>
      <c r="AT183" s="1"/>
      <c r="AU183" s="1"/>
      <c r="AV183" s="1"/>
      <c r="AW183" s="1"/>
      <c r="AX183" s="1"/>
    </row>
    <row r="184" spans="1:50" outlineLevel="1">
      <c r="A184" s="10" t="s">
        <v>288</v>
      </c>
      <c r="B184" s="10" t="s">
        <v>42</v>
      </c>
      <c r="C184" s="10" t="s">
        <v>191</v>
      </c>
      <c r="D184" s="10" t="s">
        <v>222</v>
      </c>
      <c r="E184" s="6"/>
      <c r="F184" s="6"/>
      <c r="G184" s="6"/>
      <c r="H184" s="6">
        <v>11.9</v>
      </c>
      <c r="I184" s="6">
        <v>13.7</v>
      </c>
      <c r="J184" s="6">
        <v>19</v>
      </c>
      <c r="L184" s="6">
        <v>25.1</v>
      </c>
      <c r="M184" s="6">
        <v>32.200000000000003</v>
      </c>
      <c r="N184" s="6">
        <v>47.1</v>
      </c>
      <c r="O184" s="6">
        <v>57.2</v>
      </c>
      <c r="P184" s="6"/>
      <c r="Q184" s="6">
        <v>77</v>
      </c>
      <c r="R184" s="5">
        <v>142</v>
      </c>
      <c r="S184" s="6">
        <v>195.2</v>
      </c>
      <c r="T184" s="6"/>
      <c r="U184" s="6">
        <v>328</v>
      </c>
      <c r="V184" s="6"/>
      <c r="W184" s="6">
        <v>714.4</v>
      </c>
      <c r="X184" s="5">
        <v>1104</v>
      </c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9" t="s">
        <v>49</v>
      </c>
      <c r="AT184" s="1"/>
      <c r="AU184" s="1"/>
      <c r="AV184" s="1"/>
      <c r="AW184" s="1"/>
      <c r="AX184" s="1"/>
    </row>
    <row r="185" spans="1:50" outlineLevel="1">
      <c r="A185" s="10" t="s">
        <v>288</v>
      </c>
      <c r="B185" s="10" t="s">
        <v>42</v>
      </c>
      <c r="C185" s="10" t="s">
        <v>192</v>
      </c>
      <c r="D185" s="10" t="s">
        <v>206</v>
      </c>
      <c r="E185" s="6"/>
      <c r="F185" s="6"/>
      <c r="G185" s="6"/>
      <c r="H185" s="6">
        <v>17.2</v>
      </c>
      <c r="I185" s="6">
        <v>19.5</v>
      </c>
      <c r="J185" s="6">
        <v>24.2</v>
      </c>
      <c r="L185" s="6">
        <v>34.799999999999997</v>
      </c>
      <c r="M185" s="6">
        <v>44.5</v>
      </c>
      <c r="N185" s="6">
        <v>72.900000000000006</v>
      </c>
      <c r="O185" s="6">
        <v>88.8</v>
      </c>
      <c r="P185" s="6"/>
      <c r="Q185" s="6">
        <v>122.4</v>
      </c>
      <c r="R185" s="5">
        <v>187</v>
      </c>
      <c r="S185" s="6">
        <v>280.8</v>
      </c>
      <c r="T185" s="6"/>
      <c r="U185" s="6">
        <v>485.6</v>
      </c>
      <c r="V185" s="6"/>
      <c r="W185" s="5">
        <v>910</v>
      </c>
      <c r="X185" s="5">
        <v>1234</v>
      </c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9" t="s">
        <v>49</v>
      </c>
      <c r="AT185" s="1"/>
      <c r="AU185" s="1"/>
      <c r="AV185" s="1"/>
      <c r="AW185" s="1"/>
      <c r="AX185" s="1"/>
    </row>
    <row r="186" spans="1:50" outlineLevel="1">
      <c r="A186" s="10" t="s">
        <v>288</v>
      </c>
      <c r="B186" s="10" t="s">
        <v>42</v>
      </c>
      <c r="C186" s="10" t="s">
        <v>25</v>
      </c>
      <c r="D186" s="10" t="s">
        <v>207</v>
      </c>
      <c r="E186" s="6"/>
      <c r="F186" s="6"/>
      <c r="G186" s="6"/>
      <c r="H186" s="6">
        <v>7.73</v>
      </c>
      <c r="I186" s="6">
        <v>8.8800000000000008</v>
      </c>
      <c r="J186" s="6">
        <v>12.5</v>
      </c>
      <c r="L186" s="6">
        <v>17</v>
      </c>
      <c r="M186" s="6">
        <v>21.6</v>
      </c>
      <c r="N186" s="6">
        <v>31.7</v>
      </c>
      <c r="O186" s="6">
        <v>37.6</v>
      </c>
      <c r="P186" s="6"/>
      <c r="Q186" s="6">
        <v>52.8</v>
      </c>
      <c r="R186" s="5">
        <v>171</v>
      </c>
      <c r="S186" s="6">
        <v>159.4</v>
      </c>
      <c r="T186" s="6"/>
      <c r="U186" s="6">
        <v>265</v>
      </c>
      <c r="V186" s="6"/>
      <c r="W186" s="6">
        <v>601</v>
      </c>
      <c r="X186" s="5">
        <v>1352</v>
      </c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9" t="s">
        <v>49</v>
      </c>
      <c r="AT186" s="1"/>
      <c r="AU186" s="1"/>
      <c r="AV186" s="1"/>
      <c r="AW186" s="1"/>
      <c r="AX186" s="1"/>
    </row>
    <row r="187" spans="1:50" outlineLevel="1">
      <c r="A187" s="10" t="s">
        <v>288</v>
      </c>
      <c r="B187" s="10" t="s">
        <v>42</v>
      </c>
      <c r="C187" s="10" t="s">
        <v>178</v>
      </c>
      <c r="D187" s="10" t="s">
        <v>208</v>
      </c>
      <c r="E187" s="6"/>
      <c r="F187" s="6"/>
      <c r="G187" s="6"/>
      <c r="H187" s="6">
        <v>12.7</v>
      </c>
      <c r="I187" s="6">
        <v>15.7</v>
      </c>
      <c r="J187" s="6">
        <v>21.1</v>
      </c>
      <c r="L187" s="6">
        <v>26.7</v>
      </c>
      <c r="M187" s="6">
        <v>33.5</v>
      </c>
      <c r="N187" s="6">
        <v>67.2</v>
      </c>
      <c r="O187" s="6">
        <v>67.2</v>
      </c>
      <c r="P187" s="6"/>
      <c r="Q187" s="6">
        <v>96</v>
      </c>
      <c r="R187" s="5">
        <v>234</v>
      </c>
      <c r="S187" s="6">
        <v>241.9</v>
      </c>
      <c r="T187" s="6"/>
      <c r="U187" s="6">
        <v>424.8</v>
      </c>
      <c r="V187" s="6"/>
      <c r="W187" s="5">
        <v>1212</v>
      </c>
      <c r="X187" s="5">
        <v>1798</v>
      </c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9" t="s">
        <v>49</v>
      </c>
      <c r="AT187" s="1"/>
      <c r="AU187" s="1"/>
      <c r="AV187" s="1"/>
      <c r="AW187" s="1"/>
      <c r="AX187" s="1"/>
    </row>
    <row r="188" spans="1:50" outlineLevel="1">
      <c r="A188" s="10" t="s">
        <v>288</v>
      </c>
      <c r="B188" s="10" t="s">
        <v>42</v>
      </c>
      <c r="C188" s="10" t="s">
        <v>32</v>
      </c>
      <c r="D188" s="10" t="s">
        <v>209</v>
      </c>
      <c r="E188" s="6"/>
      <c r="F188" s="6"/>
      <c r="G188" s="6"/>
      <c r="H188" s="6">
        <v>10.1</v>
      </c>
      <c r="I188" s="6">
        <v>11.7</v>
      </c>
      <c r="J188" s="6">
        <v>16.3</v>
      </c>
      <c r="L188" s="6">
        <v>22.2</v>
      </c>
      <c r="M188" s="6">
        <v>28.2</v>
      </c>
      <c r="N188" s="6">
        <v>41.3</v>
      </c>
      <c r="O188" s="6">
        <v>48.9</v>
      </c>
      <c r="P188" s="6"/>
      <c r="Q188" s="6">
        <v>68.5</v>
      </c>
      <c r="R188" s="5">
        <v>210</v>
      </c>
      <c r="S188" s="6">
        <v>207.5</v>
      </c>
      <c r="T188" s="6"/>
      <c r="U188" s="6">
        <v>345</v>
      </c>
      <c r="V188" s="6"/>
      <c r="W188" s="5">
        <v>1069</v>
      </c>
      <c r="X188" s="5">
        <v>1558</v>
      </c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9" t="s">
        <v>49</v>
      </c>
      <c r="AT188" s="1"/>
      <c r="AU188" s="1"/>
      <c r="AV188" s="1"/>
      <c r="AW188" s="1"/>
      <c r="AX188" s="1"/>
    </row>
    <row r="189" spans="1:50" outlineLevel="1">
      <c r="A189" s="10" t="s">
        <v>288</v>
      </c>
      <c r="B189" s="10" t="s">
        <v>42</v>
      </c>
      <c r="C189" s="10" t="s">
        <v>179</v>
      </c>
      <c r="D189" s="10" t="s">
        <v>210</v>
      </c>
      <c r="E189" s="6"/>
      <c r="F189" s="6"/>
      <c r="G189" s="6"/>
      <c r="H189" s="6">
        <v>16.5</v>
      </c>
      <c r="I189" s="6">
        <v>20.5</v>
      </c>
      <c r="J189" s="6">
        <v>27.5</v>
      </c>
      <c r="L189" s="6">
        <v>34.9</v>
      </c>
      <c r="M189" s="6">
        <v>43.6</v>
      </c>
      <c r="N189" s="6">
        <v>108</v>
      </c>
      <c r="O189" s="6">
        <v>108</v>
      </c>
      <c r="P189" s="6"/>
      <c r="Q189" s="6">
        <v>155</v>
      </c>
      <c r="R189" s="5">
        <v>301</v>
      </c>
      <c r="S189" s="6">
        <v>390.5</v>
      </c>
      <c r="T189" s="6"/>
      <c r="U189" s="6">
        <v>685</v>
      </c>
      <c r="V189" s="6"/>
      <c r="W189" s="5">
        <v>1625</v>
      </c>
      <c r="X189" s="5">
        <v>2315</v>
      </c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9" t="s">
        <v>49</v>
      </c>
      <c r="AT189" s="1"/>
      <c r="AU189" s="1"/>
      <c r="AV189" s="1"/>
      <c r="AW189" s="1"/>
      <c r="AX189" s="1"/>
    </row>
    <row r="190" spans="1:50" outlineLevel="1">
      <c r="A190" s="10" t="s">
        <v>288</v>
      </c>
      <c r="B190" s="10" t="s">
        <v>42</v>
      </c>
      <c r="C190" s="24" t="s">
        <v>135</v>
      </c>
      <c r="D190" s="10" t="s">
        <v>92</v>
      </c>
      <c r="E190" s="18"/>
      <c r="F190" s="18"/>
      <c r="G190" s="18"/>
      <c r="H190" s="18"/>
      <c r="I190" s="18"/>
      <c r="J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9" t="s">
        <v>49</v>
      </c>
      <c r="AT190" s="1"/>
      <c r="AU190" s="1"/>
      <c r="AV190" s="1"/>
      <c r="AW190" s="1"/>
      <c r="AX190" s="1"/>
    </row>
    <row r="191" spans="1:50" outlineLevel="1">
      <c r="A191" s="20" t="s">
        <v>254</v>
      </c>
      <c r="B191" s="20" t="s">
        <v>255</v>
      </c>
      <c r="C191" s="20" t="s">
        <v>255</v>
      </c>
      <c r="D191" s="20" t="s">
        <v>48</v>
      </c>
      <c r="E191" s="19" t="s">
        <v>48</v>
      </c>
      <c r="F191" s="19" t="s">
        <v>48</v>
      </c>
      <c r="G191" s="19" t="s">
        <v>48</v>
      </c>
      <c r="H191" s="19" t="s">
        <v>48</v>
      </c>
      <c r="I191" s="19" t="s">
        <v>48</v>
      </c>
      <c r="J191" s="19" t="s">
        <v>48</v>
      </c>
      <c r="K191" s="21" t="s">
        <v>48</v>
      </c>
      <c r="L191" s="19" t="s">
        <v>48</v>
      </c>
      <c r="M191" s="19" t="s">
        <v>48</v>
      </c>
      <c r="N191" s="19" t="s">
        <v>48</v>
      </c>
      <c r="O191" s="19" t="s">
        <v>48</v>
      </c>
      <c r="P191" s="19" t="s">
        <v>48</v>
      </c>
      <c r="Q191" s="19" t="s">
        <v>48</v>
      </c>
      <c r="R191" s="19" t="s">
        <v>48</v>
      </c>
      <c r="S191" s="19" t="s">
        <v>48</v>
      </c>
      <c r="T191" s="19" t="s">
        <v>48</v>
      </c>
      <c r="U191" s="19" t="s">
        <v>48</v>
      </c>
      <c r="V191" s="19"/>
      <c r="W191" s="19" t="s">
        <v>48</v>
      </c>
      <c r="X191" s="19" t="s">
        <v>48</v>
      </c>
      <c r="Y191" s="19" t="s">
        <v>48</v>
      </c>
      <c r="Z191" s="19" t="s">
        <v>48</v>
      </c>
      <c r="AA191" s="19" t="s">
        <v>48</v>
      </c>
      <c r="AB191" s="19" t="s">
        <v>48</v>
      </c>
      <c r="AC191" s="19" t="s">
        <v>48</v>
      </c>
      <c r="AD191" s="19" t="s">
        <v>48</v>
      </c>
      <c r="AE191" s="19" t="s">
        <v>48</v>
      </c>
      <c r="AF191" s="19" t="s">
        <v>48</v>
      </c>
      <c r="AG191" s="19" t="s">
        <v>48</v>
      </c>
      <c r="AH191" s="19" t="s">
        <v>48</v>
      </c>
      <c r="AI191" s="19" t="s">
        <v>48</v>
      </c>
      <c r="AJ191" s="19" t="s">
        <v>48</v>
      </c>
      <c r="AK191" s="19" t="s">
        <v>48</v>
      </c>
      <c r="AL191" s="19" t="s">
        <v>48</v>
      </c>
      <c r="AM191" s="19" t="s">
        <v>48</v>
      </c>
      <c r="AN191" s="19" t="s">
        <v>48</v>
      </c>
      <c r="AO191" s="19" t="s">
        <v>48</v>
      </c>
      <c r="AP191" s="19" t="s">
        <v>48</v>
      </c>
      <c r="AQ191" s="19" t="s">
        <v>48</v>
      </c>
      <c r="AR191" s="19" t="s">
        <v>48</v>
      </c>
      <c r="AS191" s="19" t="s">
        <v>49</v>
      </c>
      <c r="AT191" s="1"/>
      <c r="AU191" s="1"/>
      <c r="AV191" s="1"/>
      <c r="AW191" s="1"/>
      <c r="AX191" s="1"/>
    </row>
    <row r="192" spans="1:50" outlineLevel="1">
      <c r="A192" s="10" t="s">
        <v>289</v>
      </c>
      <c r="B192" s="10" t="s">
        <v>42</v>
      </c>
      <c r="C192" s="10" t="s">
        <v>115</v>
      </c>
      <c r="D192" s="10"/>
      <c r="E192" s="6"/>
      <c r="F192" s="6"/>
      <c r="G192" s="6"/>
      <c r="H192" s="6"/>
      <c r="I192" s="6"/>
      <c r="J192" s="6"/>
      <c r="L192" s="6"/>
      <c r="M192" s="6"/>
      <c r="N192" s="6"/>
      <c r="O192" s="6"/>
      <c r="P192" s="6"/>
      <c r="Q192" s="6"/>
      <c r="R192" s="1"/>
      <c r="S192" s="6"/>
      <c r="T192" s="6"/>
      <c r="U192" s="6"/>
      <c r="V192" s="6"/>
      <c r="W192" s="6"/>
      <c r="X192" s="6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9" t="s">
        <v>49</v>
      </c>
      <c r="AT192" s="1"/>
      <c r="AU192" s="1"/>
      <c r="AV192" s="1"/>
      <c r="AW192" s="1"/>
      <c r="AX192" s="1"/>
    </row>
    <row r="193" spans="1:50" outlineLevel="1">
      <c r="A193" s="10" t="s">
        <v>289</v>
      </c>
      <c r="B193" s="10" t="s">
        <v>42</v>
      </c>
      <c r="C193" s="10" t="s">
        <v>116</v>
      </c>
      <c r="D193" s="10"/>
      <c r="E193" s="6"/>
      <c r="F193" s="6"/>
      <c r="G193" s="6"/>
      <c r="H193" s="6"/>
      <c r="I193" s="6"/>
      <c r="J193" s="6"/>
      <c r="L193" s="6"/>
      <c r="M193" s="7"/>
      <c r="N193" s="7"/>
      <c r="O193" s="7"/>
      <c r="P193" s="7"/>
      <c r="Q193" s="7"/>
      <c r="R193" s="8"/>
      <c r="S193" s="7"/>
      <c r="T193" s="7"/>
      <c r="U193" s="7"/>
      <c r="V193" s="7"/>
      <c r="W193" s="7"/>
      <c r="X193" s="7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9" t="s">
        <v>49</v>
      </c>
      <c r="AT193" s="1"/>
      <c r="AU193" s="1"/>
      <c r="AV193" s="1"/>
      <c r="AW193" s="1"/>
      <c r="AX193" s="1"/>
    </row>
    <row r="194" spans="1:50" outlineLevel="1">
      <c r="A194" s="10" t="s">
        <v>289</v>
      </c>
      <c r="B194" s="10" t="s">
        <v>42</v>
      </c>
      <c r="C194" s="10"/>
      <c r="D194" s="10"/>
      <c r="E194" s="5"/>
      <c r="F194" s="5"/>
      <c r="G194" s="5"/>
      <c r="H194" s="5"/>
      <c r="I194" s="5"/>
      <c r="J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9" t="s">
        <v>49</v>
      </c>
      <c r="AT194" s="1"/>
      <c r="AU194" s="1"/>
      <c r="AV194" s="1"/>
      <c r="AW194" s="1"/>
      <c r="AX194" s="1"/>
    </row>
    <row r="195" spans="1:50" outlineLevel="1">
      <c r="A195" s="10" t="s">
        <v>289</v>
      </c>
      <c r="B195" s="10" t="s">
        <v>42</v>
      </c>
      <c r="C195" s="10"/>
      <c r="D195" s="10"/>
      <c r="E195" s="6"/>
      <c r="F195" s="6"/>
      <c r="G195" s="6"/>
      <c r="H195" s="6"/>
      <c r="I195" s="6"/>
      <c r="J195" s="6"/>
      <c r="L195" s="6"/>
      <c r="M195" s="6"/>
      <c r="N195" s="6"/>
      <c r="O195" s="6"/>
      <c r="P195" s="6"/>
      <c r="Q195" s="6"/>
      <c r="R195" s="5"/>
      <c r="S195" s="6"/>
      <c r="T195" s="6"/>
      <c r="U195" s="6"/>
      <c r="V195" s="6"/>
      <c r="W195" s="6"/>
      <c r="X195" s="6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9" t="s">
        <v>49</v>
      </c>
      <c r="AT195" s="1"/>
      <c r="AU195" s="1"/>
      <c r="AV195" s="1"/>
      <c r="AW195" s="1"/>
      <c r="AX195" s="1"/>
    </row>
    <row r="196" spans="1:50" outlineLevel="1">
      <c r="A196" s="10" t="s">
        <v>289</v>
      </c>
      <c r="B196" s="10" t="s">
        <v>42</v>
      </c>
      <c r="C196" s="10"/>
      <c r="D196" s="10"/>
      <c r="E196" s="6"/>
      <c r="F196" s="6"/>
      <c r="G196" s="6"/>
      <c r="H196" s="6"/>
      <c r="I196" s="6"/>
      <c r="J196" s="6"/>
      <c r="L196" s="6"/>
      <c r="M196" s="6"/>
      <c r="N196" s="6"/>
      <c r="O196" s="6"/>
      <c r="P196" s="6"/>
      <c r="Q196" s="6"/>
      <c r="R196" s="5"/>
      <c r="S196" s="6"/>
      <c r="T196" s="6"/>
      <c r="U196" s="6"/>
      <c r="V196" s="6"/>
      <c r="W196" s="6"/>
      <c r="X196" s="6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9" t="s">
        <v>49</v>
      </c>
      <c r="AT196" s="1"/>
      <c r="AU196" s="1"/>
      <c r="AV196" s="1"/>
      <c r="AW196" s="1"/>
      <c r="AX196" s="1"/>
    </row>
    <row r="197" spans="1:50" outlineLevel="1">
      <c r="A197" s="10" t="s">
        <v>289</v>
      </c>
      <c r="B197" s="10" t="s">
        <v>42</v>
      </c>
      <c r="C197" s="10"/>
      <c r="D197" s="10"/>
      <c r="E197" s="6"/>
      <c r="F197" s="6"/>
      <c r="G197" s="6"/>
      <c r="H197" s="6"/>
      <c r="I197" s="6"/>
      <c r="J197" s="6"/>
      <c r="L197" s="6"/>
      <c r="M197" s="6"/>
      <c r="N197" s="6"/>
      <c r="O197" s="6"/>
      <c r="P197" s="6"/>
      <c r="Q197" s="6"/>
      <c r="R197" s="5"/>
      <c r="S197" s="6"/>
      <c r="T197" s="6"/>
      <c r="U197" s="6"/>
      <c r="V197" s="6"/>
      <c r="W197" s="6"/>
      <c r="X197" s="6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9" t="s">
        <v>49</v>
      </c>
      <c r="AT197" s="1"/>
      <c r="AU197" s="1"/>
      <c r="AV197" s="1"/>
      <c r="AW197" s="1"/>
      <c r="AX197" s="1"/>
    </row>
    <row r="198" spans="1:50" outlineLevel="1">
      <c r="A198" s="10" t="s">
        <v>289</v>
      </c>
      <c r="B198" s="10" t="s">
        <v>42</v>
      </c>
      <c r="C198" s="10"/>
      <c r="D198" s="10"/>
      <c r="E198" s="6"/>
      <c r="F198" s="6"/>
      <c r="G198" s="6"/>
      <c r="H198" s="6"/>
      <c r="I198" s="6"/>
      <c r="J198" s="6"/>
      <c r="L198" s="6"/>
      <c r="M198" s="6"/>
      <c r="N198" s="6"/>
      <c r="O198" s="6"/>
      <c r="P198" s="6"/>
      <c r="Q198" s="6"/>
      <c r="R198" s="5"/>
      <c r="S198" s="6"/>
      <c r="T198" s="6"/>
      <c r="U198" s="6"/>
      <c r="V198" s="6"/>
      <c r="W198" s="6"/>
      <c r="X198" s="6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9" t="s">
        <v>49</v>
      </c>
      <c r="AT198" s="1"/>
      <c r="AU198" s="1"/>
      <c r="AV198" s="1"/>
      <c r="AW198" s="1"/>
      <c r="AX198" s="1"/>
    </row>
    <row r="199" spans="1:50" outlineLevel="1">
      <c r="A199" s="10" t="s">
        <v>289</v>
      </c>
      <c r="B199" s="10" t="s">
        <v>42</v>
      </c>
      <c r="C199" s="10"/>
      <c r="D199" s="10"/>
      <c r="E199" s="6"/>
      <c r="F199" s="6"/>
      <c r="G199" s="6"/>
      <c r="H199" s="6"/>
      <c r="I199" s="6"/>
      <c r="J199" s="6"/>
      <c r="L199" s="6"/>
      <c r="M199" s="6"/>
      <c r="N199" s="6"/>
      <c r="O199" s="6"/>
      <c r="P199" s="6"/>
      <c r="Q199" s="6"/>
      <c r="R199" s="5"/>
      <c r="S199" s="6"/>
      <c r="T199" s="6"/>
      <c r="U199" s="6"/>
      <c r="V199" s="6"/>
      <c r="W199" s="6"/>
      <c r="X199" s="6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9" t="s">
        <v>49</v>
      </c>
      <c r="AT199" s="1"/>
      <c r="AU199" s="1"/>
      <c r="AV199" s="1"/>
      <c r="AW199" s="1"/>
      <c r="AX199" s="1"/>
    </row>
    <row r="200" spans="1:50" outlineLevel="1">
      <c r="A200" s="10" t="s">
        <v>289</v>
      </c>
      <c r="B200" s="10" t="s">
        <v>42</v>
      </c>
      <c r="C200" s="24" t="s">
        <v>135</v>
      </c>
      <c r="D200" s="10" t="s">
        <v>92</v>
      </c>
      <c r="E200" s="18"/>
      <c r="F200" s="18"/>
      <c r="G200" s="18"/>
      <c r="H200" s="18"/>
      <c r="I200" s="18"/>
      <c r="J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9" t="s">
        <v>49</v>
      </c>
      <c r="AT200" s="1"/>
      <c r="AU200" s="1"/>
      <c r="AV200" s="1"/>
      <c r="AW200" s="1"/>
      <c r="AX200" s="1"/>
    </row>
    <row r="201" spans="1:50" outlineLevel="1">
      <c r="A201" s="20" t="s">
        <v>255</v>
      </c>
      <c r="B201" s="20" t="s">
        <v>254</v>
      </c>
      <c r="C201" s="20" t="s">
        <v>254</v>
      </c>
      <c r="D201" s="20" t="s">
        <v>48</v>
      </c>
      <c r="E201" s="19" t="s">
        <v>48</v>
      </c>
      <c r="F201" s="19" t="s">
        <v>48</v>
      </c>
      <c r="G201" s="19" t="s">
        <v>48</v>
      </c>
      <c r="H201" s="19" t="s">
        <v>48</v>
      </c>
      <c r="I201" s="19" t="s">
        <v>48</v>
      </c>
      <c r="J201" s="19" t="s">
        <v>48</v>
      </c>
      <c r="K201" s="21" t="s">
        <v>48</v>
      </c>
      <c r="L201" s="19" t="s">
        <v>48</v>
      </c>
      <c r="M201" s="19" t="s">
        <v>48</v>
      </c>
      <c r="N201" s="19" t="s">
        <v>48</v>
      </c>
      <c r="O201" s="19" t="s">
        <v>48</v>
      </c>
      <c r="P201" s="19" t="s">
        <v>48</v>
      </c>
      <c r="Q201" s="19" t="s">
        <v>48</v>
      </c>
      <c r="R201" s="19" t="s">
        <v>48</v>
      </c>
      <c r="S201" s="19" t="s">
        <v>48</v>
      </c>
      <c r="T201" s="19" t="s">
        <v>48</v>
      </c>
      <c r="U201" s="19" t="s">
        <v>48</v>
      </c>
      <c r="V201" s="19"/>
      <c r="W201" s="19" t="s">
        <v>48</v>
      </c>
      <c r="X201" s="19" t="s">
        <v>48</v>
      </c>
      <c r="Y201" s="19" t="s">
        <v>48</v>
      </c>
      <c r="Z201" s="19" t="s">
        <v>48</v>
      </c>
      <c r="AA201" s="19" t="s">
        <v>48</v>
      </c>
      <c r="AB201" s="19" t="s">
        <v>48</v>
      </c>
      <c r="AC201" s="19" t="s">
        <v>48</v>
      </c>
      <c r="AD201" s="19" t="s">
        <v>48</v>
      </c>
      <c r="AE201" s="19" t="s">
        <v>48</v>
      </c>
      <c r="AF201" s="19" t="s">
        <v>48</v>
      </c>
      <c r="AG201" s="19" t="s">
        <v>48</v>
      </c>
      <c r="AH201" s="19" t="s">
        <v>48</v>
      </c>
      <c r="AI201" s="19" t="s">
        <v>48</v>
      </c>
      <c r="AJ201" s="19" t="s">
        <v>48</v>
      </c>
      <c r="AK201" s="19" t="s">
        <v>48</v>
      </c>
      <c r="AL201" s="19" t="s">
        <v>48</v>
      </c>
      <c r="AM201" s="19" t="s">
        <v>48</v>
      </c>
      <c r="AN201" s="19" t="s">
        <v>48</v>
      </c>
      <c r="AO201" s="19" t="s">
        <v>48</v>
      </c>
      <c r="AP201" s="19" t="s">
        <v>48</v>
      </c>
      <c r="AQ201" s="19" t="s">
        <v>48</v>
      </c>
      <c r="AR201" s="19" t="s">
        <v>48</v>
      </c>
      <c r="AS201" s="19" t="s">
        <v>49</v>
      </c>
      <c r="AT201" s="1"/>
      <c r="AU201" s="1"/>
      <c r="AV201" s="1"/>
      <c r="AW201" s="1"/>
      <c r="AX201" s="1"/>
    </row>
    <row r="202" spans="1:50" outlineLevel="1">
      <c r="A202" s="10" t="s">
        <v>290</v>
      </c>
      <c r="B202" s="10" t="s">
        <v>42</v>
      </c>
      <c r="C202" s="10"/>
      <c r="D202" s="10"/>
      <c r="E202" s="6"/>
      <c r="F202" s="6"/>
      <c r="G202" s="6"/>
      <c r="H202" s="6"/>
      <c r="I202" s="6"/>
      <c r="J202" s="6"/>
      <c r="L202" s="6"/>
      <c r="M202" s="6"/>
      <c r="N202" s="6"/>
      <c r="O202" s="6"/>
      <c r="P202" s="6"/>
      <c r="Q202" s="6"/>
      <c r="R202" s="1"/>
      <c r="S202" s="6"/>
      <c r="T202" s="6"/>
      <c r="U202" s="6"/>
      <c r="V202" s="6"/>
      <c r="W202" s="6"/>
      <c r="X202" s="6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9" t="s">
        <v>49</v>
      </c>
      <c r="AT202" s="1"/>
      <c r="AU202" s="1"/>
      <c r="AV202" s="1"/>
      <c r="AW202" s="1"/>
      <c r="AX202" s="1"/>
    </row>
    <row r="203" spans="1:50" outlineLevel="1">
      <c r="A203" s="10" t="s">
        <v>290</v>
      </c>
      <c r="B203" s="10" t="s">
        <v>42</v>
      </c>
      <c r="C203" s="10"/>
      <c r="D203" s="10"/>
      <c r="E203" s="6"/>
      <c r="F203" s="6"/>
      <c r="G203" s="6"/>
      <c r="H203" s="6"/>
      <c r="I203" s="6"/>
      <c r="J203" s="6"/>
      <c r="L203" s="6"/>
      <c r="M203" s="7"/>
      <c r="N203" s="7"/>
      <c r="O203" s="7"/>
      <c r="P203" s="7"/>
      <c r="Q203" s="7"/>
      <c r="R203" s="8"/>
      <c r="S203" s="7"/>
      <c r="T203" s="7"/>
      <c r="U203" s="7"/>
      <c r="V203" s="7"/>
      <c r="W203" s="7"/>
      <c r="X203" s="7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9" t="s">
        <v>49</v>
      </c>
      <c r="AT203" s="1"/>
      <c r="AU203" s="1"/>
      <c r="AV203" s="1"/>
      <c r="AW203" s="1"/>
      <c r="AX203" s="1"/>
    </row>
    <row r="204" spans="1:50" outlineLevel="1">
      <c r="A204" s="10" t="s">
        <v>290</v>
      </c>
      <c r="B204" s="10" t="s">
        <v>42</v>
      </c>
      <c r="C204" s="10"/>
      <c r="D204" s="10"/>
      <c r="E204" s="5"/>
      <c r="F204" s="5"/>
      <c r="G204" s="5"/>
      <c r="H204" s="5"/>
      <c r="I204" s="5"/>
      <c r="J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9" t="s">
        <v>49</v>
      </c>
      <c r="AT204" s="1"/>
      <c r="AU204" s="1"/>
      <c r="AV204" s="1"/>
      <c r="AW204" s="1"/>
      <c r="AX204" s="1"/>
    </row>
    <row r="205" spans="1:50" outlineLevel="1">
      <c r="A205" s="10" t="s">
        <v>290</v>
      </c>
      <c r="B205" s="10" t="s">
        <v>42</v>
      </c>
      <c r="C205" s="10"/>
      <c r="D205" s="10"/>
      <c r="E205" s="6"/>
      <c r="F205" s="6"/>
      <c r="G205" s="6"/>
      <c r="H205" s="6"/>
      <c r="I205" s="6"/>
      <c r="J205" s="6"/>
      <c r="L205" s="6"/>
      <c r="M205" s="6"/>
      <c r="N205" s="6"/>
      <c r="O205" s="6"/>
      <c r="P205" s="6"/>
      <c r="Q205" s="6"/>
      <c r="R205" s="5"/>
      <c r="S205" s="6"/>
      <c r="T205" s="6"/>
      <c r="U205" s="6"/>
      <c r="V205" s="6"/>
      <c r="W205" s="6"/>
      <c r="X205" s="6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9" t="s">
        <v>49</v>
      </c>
      <c r="AT205" s="1"/>
      <c r="AU205" s="1"/>
      <c r="AV205" s="1"/>
      <c r="AW205" s="1"/>
      <c r="AX205" s="1"/>
    </row>
    <row r="206" spans="1:50" outlineLevel="1">
      <c r="A206" s="10" t="s">
        <v>290</v>
      </c>
      <c r="B206" s="10" t="s">
        <v>42</v>
      </c>
      <c r="C206" s="10"/>
      <c r="D206" s="10"/>
      <c r="E206" s="6"/>
      <c r="F206" s="6"/>
      <c r="G206" s="6"/>
      <c r="H206" s="6"/>
      <c r="I206" s="6"/>
      <c r="J206" s="6"/>
      <c r="L206" s="6"/>
      <c r="M206" s="6"/>
      <c r="N206" s="6"/>
      <c r="O206" s="6"/>
      <c r="P206" s="6"/>
      <c r="Q206" s="6"/>
      <c r="R206" s="5"/>
      <c r="S206" s="6"/>
      <c r="T206" s="6"/>
      <c r="U206" s="6"/>
      <c r="V206" s="6"/>
      <c r="W206" s="6"/>
      <c r="X206" s="6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9" t="s">
        <v>49</v>
      </c>
      <c r="AT206" s="1"/>
      <c r="AU206" s="1"/>
      <c r="AV206" s="1"/>
      <c r="AW206" s="1"/>
      <c r="AX206" s="1"/>
    </row>
    <row r="207" spans="1:50" outlineLevel="1">
      <c r="A207" s="10" t="s">
        <v>290</v>
      </c>
      <c r="B207" s="10" t="s">
        <v>42</v>
      </c>
      <c r="C207" s="10"/>
      <c r="D207" s="10"/>
      <c r="E207" s="6"/>
      <c r="F207" s="6"/>
      <c r="G207" s="6"/>
      <c r="H207" s="6"/>
      <c r="I207" s="6"/>
      <c r="J207" s="6"/>
      <c r="L207" s="6"/>
      <c r="M207" s="6"/>
      <c r="N207" s="6"/>
      <c r="O207" s="6"/>
      <c r="P207" s="6"/>
      <c r="Q207" s="6"/>
      <c r="R207" s="5"/>
      <c r="S207" s="6"/>
      <c r="T207" s="6"/>
      <c r="U207" s="6"/>
      <c r="V207" s="6"/>
      <c r="W207" s="6"/>
      <c r="X207" s="6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9" t="s">
        <v>49</v>
      </c>
      <c r="AT207" s="1"/>
      <c r="AU207" s="1"/>
      <c r="AV207" s="1"/>
      <c r="AW207" s="1"/>
      <c r="AX207" s="1"/>
    </row>
    <row r="208" spans="1:50" outlineLevel="1">
      <c r="A208" s="10" t="s">
        <v>290</v>
      </c>
      <c r="B208" s="10" t="s">
        <v>42</v>
      </c>
      <c r="C208" s="10"/>
      <c r="D208" s="10"/>
      <c r="E208" s="6"/>
      <c r="F208" s="6"/>
      <c r="G208" s="6"/>
      <c r="H208" s="6"/>
      <c r="I208" s="6"/>
      <c r="J208" s="6"/>
      <c r="L208" s="6"/>
      <c r="M208" s="6"/>
      <c r="N208" s="6"/>
      <c r="O208" s="6"/>
      <c r="P208" s="6"/>
      <c r="Q208" s="6"/>
      <c r="R208" s="5"/>
      <c r="S208" s="6"/>
      <c r="T208" s="6"/>
      <c r="U208" s="6"/>
      <c r="V208" s="6"/>
      <c r="W208" s="6"/>
      <c r="X208" s="6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9" t="s">
        <v>49</v>
      </c>
      <c r="AT208" s="1"/>
      <c r="AU208" s="1"/>
      <c r="AV208" s="1"/>
      <c r="AW208" s="1"/>
      <c r="AX208" s="1"/>
    </row>
    <row r="209" spans="1:50" outlineLevel="1">
      <c r="A209" s="10" t="s">
        <v>290</v>
      </c>
      <c r="B209" s="10" t="s">
        <v>42</v>
      </c>
      <c r="C209" s="10"/>
      <c r="D209" s="10"/>
      <c r="E209" s="6"/>
      <c r="F209" s="6"/>
      <c r="G209" s="6"/>
      <c r="H209" s="6"/>
      <c r="I209" s="6"/>
      <c r="J209" s="6"/>
      <c r="L209" s="6"/>
      <c r="M209" s="6"/>
      <c r="N209" s="6"/>
      <c r="O209" s="6"/>
      <c r="P209" s="6"/>
      <c r="Q209" s="6"/>
      <c r="R209" s="5"/>
      <c r="S209" s="6"/>
      <c r="T209" s="6"/>
      <c r="U209" s="6"/>
      <c r="V209" s="6"/>
      <c r="W209" s="6"/>
      <c r="X209" s="6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9" t="s">
        <v>49</v>
      </c>
      <c r="AT209" s="1"/>
      <c r="AU209" s="1"/>
      <c r="AV209" s="1"/>
      <c r="AW209" s="1"/>
      <c r="AX209" s="1"/>
    </row>
    <row r="210" spans="1:50" outlineLevel="1">
      <c r="A210" s="10" t="s">
        <v>290</v>
      </c>
      <c r="B210" s="10" t="s">
        <v>42</v>
      </c>
      <c r="C210" s="10"/>
      <c r="D210" s="10" t="s">
        <v>92</v>
      </c>
      <c r="E210" s="18"/>
      <c r="F210" s="18"/>
      <c r="G210" s="18"/>
      <c r="H210" s="18"/>
      <c r="I210" s="18"/>
      <c r="J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9" t="s">
        <v>49</v>
      </c>
      <c r="AT210" s="1"/>
      <c r="AU210" s="1"/>
      <c r="AV210" s="1"/>
      <c r="AW210" s="1"/>
      <c r="AX210" s="1"/>
    </row>
    <row r="211" spans="1:50" outlineLevel="1">
      <c r="A211" s="20" t="s">
        <v>254</v>
      </c>
      <c r="B211" s="20" t="s">
        <v>260</v>
      </c>
      <c r="C211" s="20" t="s">
        <v>254</v>
      </c>
      <c r="D211" s="20" t="s">
        <v>48</v>
      </c>
      <c r="E211" s="19" t="s">
        <v>48</v>
      </c>
      <c r="F211" s="19" t="s">
        <v>48</v>
      </c>
      <c r="G211" s="19" t="s">
        <v>48</v>
      </c>
      <c r="H211" s="19" t="s">
        <v>48</v>
      </c>
      <c r="I211" s="19" t="s">
        <v>48</v>
      </c>
      <c r="J211" s="19" t="s">
        <v>48</v>
      </c>
      <c r="K211" s="21" t="s">
        <v>48</v>
      </c>
      <c r="L211" s="19" t="s">
        <v>48</v>
      </c>
      <c r="M211" s="19" t="s">
        <v>48</v>
      </c>
      <c r="N211" s="19" t="s">
        <v>48</v>
      </c>
      <c r="O211" s="19" t="s">
        <v>48</v>
      </c>
      <c r="P211" s="19" t="s">
        <v>48</v>
      </c>
      <c r="Q211" s="19" t="s">
        <v>48</v>
      </c>
      <c r="R211" s="19" t="s">
        <v>48</v>
      </c>
      <c r="S211" s="19" t="s">
        <v>48</v>
      </c>
      <c r="T211" s="19" t="s">
        <v>48</v>
      </c>
      <c r="U211" s="19" t="s">
        <v>48</v>
      </c>
      <c r="V211" s="19"/>
      <c r="W211" s="19" t="s">
        <v>48</v>
      </c>
      <c r="X211" s="19" t="s">
        <v>48</v>
      </c>
      <c r="Y211" s="19" t="s">
        <v>48</v>
      </c>
      <c r="Z211" s="19" t="s">
        <v>48</v>
      </c>
      <c r="AA211" s="19" t="s">
        <v>48</v>
      </c>
      <c r="AB211" s="19" t="s">
        <v>48</v>
      </c>
      <c r="AC211" s="19" t="s">
        <v>48</v>
      </c>
      <c r="AD211" s="19" t="s">
        <v>48</v>
      </c>
      <c r="AE211" s="19" t="s">
        <v>48</v>
      </c>
      <c r="AF211" s="19" t="s">
        <v>48</v>
      </c>
      <c r="AG211" s="19" t="s">
        <v>48</v>
      </c>
      <c r="AH211" s="19" t="s">
        <v>48</v>
      </c>
      <c r="AI211" s="19" t="s">
        <v>48</v>
      </c>
      <c r="AJ211" s="19" t="s">
        <v>48</v>
      </c>
      <c r="AK211" s="19" t="s">
        <v>48</v>
      </c>
      <c r="AL211" s="19" t="s">
        <v>48</v>
      </c>
      <c r="AM211" s="19" t="s">
        <v>48</v>
      </c>
      <c r="AN211" s="19" t="s">
        <v>48</v>
      </c>
      <c r="AO211" s="19" t="s">
        <v>48</v>
      </c>
      <c r="AP211" s="19" t="s">
        <v>48</v>
      </c>
      <c r="AQ211" s="19" t="s">
        <v>48</v>
      </c>
      <c r="AR211" s="19" t="s">
        <v>48</v>
      </c>
      <c r="AS211" s="19" t="s">
        <v>49</v>
      </c>
      <c r="AT211" s="1"/>
      <c r="AU211" s="1"/>
      <c r="AV211" s="1"/>
      <c r="AW211" s="1"/>
      <c r="AX211" s="1"/>
    </row>
    <row r="212" spans="1:50" outlineLevel="1">
      <c r="A212" s="10" t="s">
        <v>291</v>
      </c>
      <c r="B212" s="10" t="s">
        <v>42</v>
      </c>
      <c r="C212" s="10" t="s">
        <v>21</v>
      </c>
      <c r="D212" s="10" t="s">
        <v>219</v>
      </c>
      <c r="E212" s="5"/>
      <c r="F212" s="5"/>
      <c r="G212" s="5"/>
      <c r="H212" s="5">
        <v>17</v>
      </c>
      <c r="I212" s="5">
        <v>18</v>
      </c>
      <c r="J212" s="5">
        <v>20</v>
      </c>
      <c r="L212" s="5">
        <v>24</v>
      </c>
      <c r="M212" s="5">
        <v>25</v>
      </c>
      <c r="N212" s="5">
        <v>34</v>
      </c>
      <c r="O212" s="5">
        <v>41</v>
      </c>
      <c r="P212" s="5"/>
      <c r="Q212" s="5">
        <v>54</v>
      </c>
      <c r="R212" s="5">
        <v>80</v>
      </c>
      <c r="S212" s="5">
        <v>105</v>
      </c>
      <c r="T212" s="5"/>
      <c r="U212" s="5">
        <v>141</v>
      </c>
      <c r="V212" s="5"/>
      <c r="W212" s="5" t="s">
        <v>97</v>
      </c>
      <c r="X212" s="5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9" t="s">
        <v>49</v>
      </c>
      <c r="AT212" s="1"/>
      <c r="AU212" s="1"/>
      <c r="AV212" s="1"/>
      <c r="AW212" s="1"/>
      <c r="AX212" s="1"/>
    </row>
    <row r="213" spans="1:50" outlineLevel="1">
      <c r="A213" s="10" t="s">
        <v>291</v>
      </c>
      <c r="B213" s="10" t="s">
        <v>42</v>
      </c>
      <c r="C213" s="10" t="s">
        <v>38</v>
      </c>
      <c r="D213" s="12" t="s">
        <v>227</v>
      </c>
      <c r="E213" s="5"/>
      <c r="F213" s="5"/>
      <c r="G213" s="5"/>
      <c r="H213" s="5">
        <v>16</v>
      </c>
      <c r="I213" s="5">
        <v>18</v>
      </c>
      <c r="J213" s="5">
        <v>22</v>
      </c>
      <c r="L213" s="5">
        <v>31</v>
      </c>
      <c r="M213" s="5">
        <v>36</v>
      </c>
      <c r="N213" s="5">
        <v>49</v>
      </c>
      <c r="O213" s="5">
        <v>63</v>
      </c>
      <c r="P213" s="5"/>
      <c r="Q213" s="5">
        <v>93</v>
      </c>
      <c r="R213" s="5">
        <v>140</v>
      </c>
      <c r="S213" s="5">
        <v>203</v>
      </c>
      <c r="T213" s="5"/>
      <c r="U213" s="5">
        <v>210</v>
      </c>
      <c r="V213" s="5"/>
      <c r="W213" s="5" t="s">
        <v>97</v>
      </c>
      <c r="X213" s="5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9" t="s">
        <v>49</v>
      </c>
      <c r="AT213" s="1"/>
      <c r="AU213" s="1"/>
      <c r="AV213" s="1"/>
      <c r="AW213" s="1"/>
      <c r="AX213" s="1"/>
    </row>
    <row r="214" spans="1:50" outlineLevel="1">
      <c r="A214" s="10" t="s">
        <v>291</v>
      </c>
      <c r="B214" s="10" t="s">
        <v>42</v>
      </c>
      <c r="C214" s="10" t="s">
        <v>5</v>
      </c>
      <c r="D214" s="10" t="s">
        <v>214</v>
      </c>
      <c r="E214" s="5"/>
      <c r="F214" s="5"/>
      <c r="G214" s="5"/>
      <c r="H214" s="5">
        <v>6.9</v>
      </c>
      <c r="I214" s="5">
        <v>7.5</v>
      </c>
      <c r="J214" s="5">
        <v>9.6</v>
      </c>
      <c r="L214" s="5">
        <v>15</v>
      </c>
      <c r="M214" s="5">
        <v>17</v>
      </c>
      <c r="N214" s="5">
        <v>25</v>
      </c>
      <c r="O214" s="5">
        <v>28</v>
      </c>
      <c r="P214" s="5"/>
      <c r="Q214" s="5">
        <v>41</v>
      </c>
      <c r="R214" s="5">
        <v>61</v>
      </c>
      <c r="S214" s="5">
        <v>83</v>
      </c>
      <c r="T214" s="5"/>
      <c r="U214" s="5">
        <v>158</v>
      </c>
      <c r="V214" s="5"/>
      <c r="W214" s="5">
        <v>268</v>
      </c>
      <c r="X214" s="5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9" t="s">
        <v>49</v>
      </c>
      <c r="AT214" s="1"/>
      <c r="AU214" s="1"/>
      <c r="AV214" s="1"/>
      <c r="AW214" s="1"/>
      <c r="AX214" s="1"/>
    </row>
    <row r="215" spans="1:50" outlineLevel="1">
      <c r="A215" s="10" t="s">
        <v>291</v>
      </c>
      <c r="B215" s="10" t="s">
        <v>42</v>
      </c>
      <c r="C215" s="10" t="s">
        <v>8</v>
      </c>
      <c r="D215" s="10" t="s">
        <v>215</v>
      </c>
      <c r="E215" s="5"/>
      <c r="F215" s="5"/>
      <c r="G215" s="5"/>
      <c r="H215" s="5">
        <v>11</v>
      </c>
      <c r="I215" s="5">
        <v>12</v>
      </c>
      <c r="J215" s="5">
        <v>16</v>
      </c>
      <c r="L215" s="5">
        <v>23</v>
      </c>
      <c r="M215" s="5">
        <v>28</v>
      </c>
      <c r="N215" s="5">
        <v>39</v>
      </c>
      <c r="O215" s="5">
        <v>49</v>
      </c>
      <c r="P215" s="5"/>
      <c r="Q215" s="5">
        <v>69</v>
      </c>
      <c r="R215" s="5">
        <v>120</v>
      </c>
      <c r="S215" s="5">
        <v>154</v>
      </c>
      <c r="T215" s="5"/>
      <c r="U215" s="5">
        <v>195</v>
      </c>
      <c r="V215" s="5"/>
      <c r="W215" s="5">
        <v>374</v>
      </c>
      <c r="X215" s="5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9" t="s">
        <v>49</v>
      </c>
      <c r="AT215" s="1"/>
      <c r="AU215" s="1"/>
      <c r="AV215" s="1"/>
      <c r="AW215" s="1"/>
      <c r="AX215" s="1"/>
    </row>
    <row r="216" spans="1:50" outlineLevel="1">
      <c r="A216" s="10" t="s">
        <v>291</v>
      </c>
      <c r="B216" s="10" t="s">
        <v>42</v>
      </c>
      <c r="C216" s="10" t="s">
        <v>12</v>
      </c>
      <c r="D216" s="10" t="s">
        <v>216</v>
      </c>
      <c r="E216" s="5"/>
      <c r="F216" s="5"/>
      <c r="G216" s="5"/>
      <c r="H216" s="5">
        <v>8.6</v>
      </c>
      <c r="I216" s="5">
        <v>9.4</v>
      </c>
      <c r="J216" s="5">
        <v>12</v>
      </c>
      <c r="L216" s="5">
        <v>18</v>
      </c>
      <c r="M216" s="5">
        <v>22</v>
      </c>
      <c r="N216" s="5">
        <v>31</v>
      </c>
      <c r="O216" s="5">
        <v>35</v>
      </c>
      <c r="P216" s="5"/>
      <c r="Q216" s="5">
        <v>52</v>
      </c>
      <c r="R216" s="5">
        <v>76</v>
      </c>
      <c r="S216" s="5">
        <v>103</v>
      </c>
      <c r="T216" s="5"/>
      <c r="U216" s="5">
        <v>197</v>
      </c>
      <c r="V216" s="5"/>
      <c r="W216" s="5">
        <v>336</v>
      </c>
      <c r="X216" s="5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9" t="s">
        <v>49</v>
      </c>
      <c r="AT216" s="1"/>
      <c r="AU216" s="1"/>
      <c r="AV216" s="1"/>
      <c r="AW216" s="1"/>
      <c r="AX216" s="1"/>
    </row>
    <row r="217" spans="1:50" outlineLevel="1">
      <c r="A217" s="10" t="s">
        <v>291</v>
      </c>
      <c r="B217" s="10" t="s">
        <v>42</v>
      </c>
      <c r="C217" s="10" t="s">
        <v>17</v>
      </c>
      <c r="D217" s="10" t="s">
        <v>217</v>
      </c>
      <c r="E217" s="5"/>
      <c r="F217" s="5"/>
      <c r="G217" s="5"/>
      <c r="H217" s="5">
        <v>13</v>
      </c>
      <c r="I217" s="5">
        <v>14</v>
      </c>
      <c r="J217" s="5">
        <v>18</v>
      </c>
      <c r="L217" s="5">
        <v>27</v>
      </c>
      <c r="M217" s="5">
        <v>33</v>
      </c>
      <c r="N217" s="5">
        <v>46</v>
      </c>
      <c r="O217" s="5">
        <v>56</v>
      </c>
      <c r="P217" s="5"/>
      <c r="Q217" s="5">
        <v>80</v>
      </c>
      <c r="R217" s="5">
        <v>136</v>
      </c>
      <c r="S217" s="5">
        <v>176</v>
      </c>
      <c r="T217" s="5"/>
      <c r="U217" s="5">
        <v>236</v>
      </c>
      <c r="V217" s="5"/>
      <c r="W217" s="5">
        <v>443</v>
      </c>
      <c r="X217" s="5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9" t="s">
        <v>49</v>
      </c>
      <c r="AT217" s="1"/>
      <c r="AU217" s="1"/>
      <c r="AV217" s="1"/>
      <c r="AW217" s="1"/>
      <c r="AX217" s="1"/>
    </row>
    <row r="218" spans="1:50" outlineLevel="1">
      <c r="A218" s="10" t="s">
        <v>291</v>
      </c>
      <c r="B218" s="10" t="s">
        <v>42</v>
      </c>
      <c r="C218" s="10" t="s">
        <v>27</v>
      </c>
      <c r="D218" s="10" t="s">
        <v>220</v>
      </c>
      <c r="E218" s="5"/>
      <c r="F218" s="5"/>
      <c r="G218" s="5"/>
      <c r="H218" s="5">
        <v>24.8</v>
      </c>
      <c r="I218" s="5">
        <v>28.7</v>
      </c>
      <c r="J218" s="5">
        <v>33.6</v>
      </c>
      <c r="L218" s="5">
        <v>43</v>
      </c>
      <c r="M218" s="5">
        <v>55.9</v>
      </c>
      <c r="N218" s="5">
        <v>70</v>
      </c>
      <c r="O218" s="5">
        <v>105</v>
      </c>
      <c r="P218" s="5"/>
      <c r="Q218" s="5">
        <v>123</v>
      </c>
      <c r="R218" s="5">
        <v>162</v>
      </c>
      <c r="S218" s="5">
        <v>209</v>
      </c>
      <c r="T218" s="5"/>
      <c r="U218" s="5">
        <v>254</v>
      </c>
      <c r="V218" s="5"/>
      <c r="W218" s="5" t="s">
        <v>97</v>
      </c>
      <c r="X218" s="5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9" t="s">
        <v>49</v>
      </c>
      <c r="AT218" s="1"/>
      <c r="AU218" s="1"/>
      <c r="AV218" s="1"/>
      <c r="AW218" s="1"/>
      <c r="AX218" s="1"/>
    </row>
    <row r="219" spans="1:50" outlineLevel="1">
      <c r="A219" s="10" t="s">
        <v>291</v>
      </c>
      <c r="B219" s="10" t="s">
        <v>42</v>
      </c>
      <c r="C219" s="24" t="s">
        <v>135</v>
      </c>
      <c r="D219" s="10" t="s">
        <v>92</v>
      </c>
      <c r="E219" s="18"/>
      <c r="F219" s="18"/>
      <c r="G219" s="18"/>
      <c r="H219" s="18"/>
      <c r="I219" s="18"/>
      <c r="J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9" t="s">
        <v>49</v>
      </c>
      <c r="AT219" s="1"/>
      <c r="AU219" s="1"/>
      <c r="AV219" s="1"/>
      <c r="AW219" s="1"/>
      <c r="AX219" s="1"/>
    </row>
    <row r="220" spans="1:50" outlineLevel="1">
      <c r="A220" s="20" t="s">
        <v>254</v>
      </c>
      <c r="B220" s="20" t="s">
        <v>260</v>
      </c>
      <c r="C220" s="20" t="s">
        <v>257</v>
      </c>
      <c r="D220" s="20" t="s">
        <v>48</v>
      </c>
      <c r="E220" s="19" t="s">
        <v>48</v>
      </c>
      <c r="F220" s="19" t="s">
        <v>48</v>
      </c>
      <c r="G220" s="19" t="s">
        <v>48</v>
      </c>
      <c r="H220" s="19" t="s">
        <v>48</v>
      </c>
      <c r="I220" s="19" t="s">
        <v>48</v>
      </c>
      <c r="J220" s="19" t="s">
        <v>48</v>
      </c>
      <c r="K220" s="21" t="s">
        <v>48</v>
      </c>
      <c r="L220" s="19" t="s">
        <v>48</v>
      </c>
      <c r="M220" s="19" t="s">
        <v>48</v>
      </c>
      <c r="N220" s="19" t="s">
        <v>48</v>
      </c>
      <c r="O220" s="19" t="s">
        <v>48</v>
      </c>
      <c r="P220" s="19" t="s">
        <v>48</v>
      </c>
      <c r="Q220" s="19" t="s">
        <v>48</v>
      </c>
      <c r="R220" s="19" t="s">
        <v>48</v>
      </c>
      <c r="S220" s="19" t="s">
        <v>48</v>
      </c>
      <c r="T220" s="19" t="s">
        <v>48</v>
      </c>
      <c r="U220" s="19" t="s">
        <v>48</v>
      </c>
      <c r="V220" s="19"/>
      <c r="W220" s="19" t="s">
        <v>48</v>
      </c>
      <c r="X220" s="19" t="s">
        <v>48</v>
      </c>
      <c r="Y220" s="19" t="s">
        <v>48</v>
      </c>
      <c r="Z220" s="19" t="s">
        <v>48</v>
      </c>
      <c r="AA220" s="19" t="s">
        <v>48</v>
      </c>
      <c r="AB220" s="19" t="s">
        <v>48</v>
      </c>
      <c r="AC220" s="19" t="s">
        <v>48</v>
      </c>
      <c r="AD220" s="19" t="s">
        <v>48</v>
      </c>
      <c r="AE220" s="19" t="s">
        <v>48</v>
      </c>
      <c r="AF220" s="19" t="s">
        <v>48</v>
      </c>
      <c r="AG220" s="19" t="s">
        <v>48</v>
      </c>
      <c r="AH220" s="19" t="s">
        <v>48</v>
      </c>
      <c r="AI220" s="19" t="s">
        <v>48</v>
      </c>
      <c r="AJ220" s="19" t="s">
        <v>48</v>
      </c>
      <c r="AK220" s="19" t="s">
        <v>48</v>
      </c>
      <c r="AL220" s="19" t="s">
        <v>48</v>
      </c>
      <c r="AM220" s="19" t="s">
        <v>48</v>
      </c>
      <c r="AN220" s="19" t="s">
        <v>48</v>
      </c>
      <c r="AO220" s="19" t="s">
        <v>48</v>
      </c>
      <c r="AP220" s="19" t="s">
        <v>48</v>
      </c>
      <c r="AQ220" s="19" t="s">
        <v>48</v>
      </c>
      <c r="AR220" s="19" t="s">
        <v>48</v>
      </c>
      <c r="AS220" s="19" t="s">
        <v>49</v>
      </c>
      <c r="AT220" s="1"/>
      <c r="AU220" s="1"/>
      <c r="AV220" s="1"/>
      <c r="AW220" s="1"/>
      <c r="AX220" s="1"/>
    </row>
    <row r="221" spans="1:50" outlineLevel="1">
      <c r="A221" s="10" t="s">
        <v>292</v>
      </c>
      <c r="B221" s="10" t="s">
        <v>42</v>
      </c>
      <c r="C221" s="10" t="s">
        <v>10</v>
      </c>
      <c r="D221" s="10" t="s">
        <v>223</v>
      </c>
      <c r="E221" s="5"/>
      <c r="F221" s="5"/>
      <c r="G221" s="5"/>
      <c r="H221" s="5">
        <v>5.7</v>
      </c>
      <c r="I221" s="5">
        <v>6.7</v>
      </c>
      <c r="J221" s="5">
        <v>10.3</v>
      </c>
      <c r="L221" s="5">
        <v>18.3</v>
      </c>
      <c r="M221" s="5">
        <v>24.1</v>
      </c>
      <c r="N221" s="5">
        <v>37.299999999999997</v>
      </c>
      <c r="O221" s="5">
        <v>44.7</v>
      </c>
      <c r="P221" s="5"/>
      <c r="Q221" s="5">
        <v>72.8</v>
      </c>
      <c r="R221" s="5"/>
      <c r="S221" s="5"/>
      <c r="T221" s="5"/>
      <c r="U221" s="5"/>
      <c r="V221" s="5"/>
      <c r="W221" s="5"/>
      <c r="X221" s="5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9" t="s">
        <v>49</v>
      </c>
      <c r="AT221" s="1"/>
      <c r="AU221" s="1"/>
      <c r="AV221" s="1"/>
      <c r="AW221" s="1"/>
      <c r="AX221" s="1"/>
    </row>
    <row r="222" spans="1:50" outlineLevel="1">
      <c r="A222" s="10" t="s">
        <v>292</v>
      </c>
      <c r="B222" s="10" t="s">
        <v>42</v>
      </c>
      <c r="C222" s="10" t="s">
        <v>176</v>
      </c>
      <c r="D222" s="10" t="s">
        <v>204</v>
      </c>
      <c r="E222" s="6"/>
      <c r="F222" s="6"/>
      <c r="G222" s="6"/>
      <c r="H222" s="6">
        <v>3.98</v>
      </c>
      <c r="I222" s="6">
        <v>4.8</v>
      </c>
      <c r="J222" s="6">
        <v>6.1</v>
      </c>
      <c r="L222" s="6">
        <v>25.2</v>
      </c>
      <c r="M222" s="6">
        <v>27.1</v>
      </c>
      <c r="N222" s="6">
        <v>29.2</v>
      </c>
      <c r="O222" s="6">
        <v>36.200000000000003</v>
      </c>
      <c r="P222" s="6"/>
      <c r="Q222" s="6">
        <v>52.3</v>
      </c>
      <c r="R222" s="1">
        <v>58.3</v>
      </c>
      <c r="S222" s="6">
        <v>79.7</v>
      </c>
      <c r="T222" s="6"/>
      <c r="U222" s="6">
        <v>122.9</v>
      </c>
      <c r="V222" s="6"/>
      <c r="W222" s="6">
        <v>180.5</v>
      </c>
      <c r="X222" s="6">
        <v>296.60000000000002</v>
      </c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9" t="s">
        <v>49</v>
      </c>
      <c r="AT222" s="1"/>
      <c r="AU222" s="1"/>
      <c r="AV222" s="1"/>
      <c r="AW222" s="1"/>
      <c r="AX222" s="1"/>
    </row>
    <row r="223" spans="1:50" outlineLevel="1">
      <c r="A223" s="10" t="s">
        <v>292</v>
      </c>
      <c r="B223" s="10" t="s">
        <v>42</v>
      </c>
      <c r="C223" s="10" t="s">
        <v>191</v>
      </c>
      <c r="D223" s="10" t="s">
        <v>222</v>
      </c>
      <c r="E223" s="6"/>
      <c r="F223" s="6"/>
      <c r="G223" s="6"/>
      <c r="H223" s="6">
        <v>11.2</v>
      </c>
      <c r="I223" s="6">
        <v>13</v>
      </c>
      <c r="J223" s="6">
        <v>17.5</v>
      </c>
      <c r="L223" s="6">
        <v>28.5</v>
      </c>
      <c r="M223" s="7">
        <v>41</v>
      </c>
      <c r="N223" s="7">
        <v>54.5</v>
      </c>
      <c r="O223" s="7">
        <v>57.1</v>
      </c>
      <c r="P223" s="7"/>
      <c r="Q223" s="7">
        <v>84.7</v>
      </c>
      <c r="R223" s="8">
        <v>130</v>
      </c>
      <c r="S223" s="7">
        <v>129.5</v>
      </c>
      <c r="T223" s="7"/>
      <c r="U223" s="7">
        <v>198.8</v>
      </c>
      <c r="V223" s="7"/>
      <c r="W223" s="7">
        <v>305.89999999999998</v>
      </c>
      <c r="X223" s="7">
        <v>444.5</v>
      </c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9" t="s">
        <v>49</v>
      </c>
      <c r="AT223" s="1"/>
      <c r="AU223" s="1"/>
      <c r="AV223" s="1"/>
      <c r="AW223" s="1"/>
      <c r="AX223" s="1"/>
    </row>
    <row r="224" spans="1:50" outlineLevel="1">
      <c r="A224" s="10" t="s">
        <v>292</v>
      </c>
      <c r="B224" s="10" t="s">
        <v>42</v>
      </c>
      <c r="C224" s="10" t="s">
        <v>192</v>
      </c>
      <c r="D224" s="10" t="s">
        <v>206</v>
      </c>
      <c r="E224" s="6"/>
      <c r="F224" s="6"/>
      <c r="G224" s="6"/>
      <c r="H224" s="6">
        <v>11.2</v>
      </c>
      <c r="I224" s="6">
        <v>13</v>
      </c>
      <c r="J224" s="6">
        <v>17.5</v>
      </c>
      <c r="L224" s="6">
        <v>54.9</v>
      </c>
      <c r="M224" s="6">
        <v>55.2</v>
      </c>
      <c r="N224" s="6">
        <v>75.599999999999994</v>
      </c>
      <c r="O224" s="6">
        <v>81.2</v>
      </c>
      <c r="P224" s="6"/>
      <c r="Q224" s="6">
        <v>107.8</v>
      </c>
      <c r="R224" s="5">
        <v>180</v>
      </c>
      <c r="S224" s="6">
        <v>179.2</v>
      </c>
      <c r="T224" s="6"/>
      <c r="U224" s="6">
        <v>294</v>
      </c>
      <c r="V224" s="6"/>
      <c r="W224" s="6">
        <v>455</v>
      </c>
      <c r="X224" s="6">
        <v>609.70000000000005</v>
      </c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9" t="s">
        <v>49</v>
      </c>
      <c r="AT224" s="1"/>
      <c r="AU224" s="1"/>
      <c r="AV224" s="1"/>
      <c r="AW224" s="1"/>
      <c r="AX224" s="1"/>
    </row>
    <row r="225" spans="1:50" outlineLevel="1">
      <c r="A225" s="10" t="s">
        <v>292</v>
      </c>
      <c r="B225" s="10" t="s">
        <v>42</v>
      </c>
      <c r="C225" s="10" t="s">
        <v>25</v>
      </c>
      <c r="D225" s="10" t="s">
        <v>207</v>
      </c>
      <c r="E225" s="6"/>
      <c r="F225" s="6"/>
      <c r="G225" s="6"/>
      <c r="H225" s="6">
        <v>14.9</v>
      </c>
      <c r="I225" s="6">
        <v>16.7</v>
      </c>
      <c r="J225" s="6">
        <v>20.399999999999999</v>
      </c>
      <c r="L225" s="6">
        <v>29.8</v>
      </c>
      <c r="M225" s="6">
        <v>35.200000000000003</v>
      </c>
      <c r="N225" s="6">
        <v>52.4</v>
      </c>
      <c r="O225" s="6">
        <v>61.2</v>
      </c>
      <c r="P225" s="6"/>
      <c r="Q225" s="6">
        <v>82.2</v>
      </c>
      <c r="R225" s="5">
        <v>127</v>
      </c>
      <c r="S225" s="6">
        <v>153</v>
      </c>
      <c r="T225" s="6"/>
      <c r="U225" s="6">
        <v>270.60000000000002</v>
      </c>
      <c r="V225" s="6"/>
      <c r="W225" s="6">
        <v>438.6</v>
      </c>
      <c r="X225" s="6">
        <v>660.6</v>
      </c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9" t="s">
        <v>49</v>
      </c>
      <c r="AT225" s="1"/>
      <c r="AU225" s="1"/>
      <c r="AV225" s="1"/>
      <c r="AW225" s="1"/>
      <c r="AX225" s="1"/>
    </row>
    <row r="226" spans="1:50" outlineLevel="1">
      <c r="A226" s="10" t="s">
        <v>292</v>
      </c>
      <c r="B226" s="10" t="s">
        <v>42</v>
      </c>
      <c r="C226" s="10" t="s">
        <v>178</v>
      </c>
      <c r="D226" s="10" t="s">
        <v>208</v>
      </c>
      <c r="E226" s="6"/>
      <c r="F226" s="6"/>
      <c r="G226" s="6"/>
      <c r="H226" s="6">
        <v>24</v>
      </c>
      <c r="I226" s="6">
        <v>30.2</v>
      </c>
      <c r="J226" s="6">
        <v>32.799999999999997</v>
      </c>
      <c r="L226" s="6">
        <v>46.3</v>
      </c>
      <c r="M226" s="6">
        <v>61.2</v>
      </c>
      <c r="N226" s="6">
        <v>85.2</v>
      </c>
      <c r="O226" s="6">
        <v>98.4</v>
      </c>
      <c r="P226" s="6"/>
      <c r="Q226" s="6">
        <v>147</v>
      </c>
      <c r="R226" s="5">
        <v>230</v>
      </c>
      <c r="S226" s="6">
        <v>277.2</v>
      </c>
      <c r="T226" s="6"/>
      <c r="U226" s="6">
        <v>486.6</v>
      </c>
      <c r="V226" s="6"/>
      <c r="W226" s="6">
        <v>694.2</v>
      </c>
      <c r="X226" s="6">
        <v>994.8</v>
      </c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9" t="s">
        <v>49</v>
      </c>
      <c r="AT226" s="1"/>
      <c r="AU226" s="1"/>
      <c r="AV226" s="1"/>
      <c r="AW226" s="1"/>
      <c r="AX226" s="1"/>
    </row>
    <row r="227" spans="1:50" outlineLevel="1">
      <c r="A227" s="10" t="s">
        <v>292</v>
      </c>
      <c r="B227" s="10" t="s">
        <v>42</v>
      </c>
      <c r="C227" s="10" t="s">
        <v>32</v>
      </c>
      <c r="D227" s="10" t="s">
        <v>209</v>
      </c>
      <c r="E227" s="6"/>
      <c r="F227" s="6"/>
      <c r="G227" s="6"/>
      <c r="H227" s="6">
        <v>19.600000000000001</v>
      </c>
      <c r="I227" s="6">
        <v>21.9</v>
      </c>
      <c r="J227" s="6">
        <v>26.7</v>
      </c>
      <c r="L227" s="6">
        <v>39.1</v>
      </c>
      <c r="M227" s="6">
        <v>46.2</v>
      </c>
      <c r="N227" s="6">
        <v>68.7</v>
      </c>
      <c r="O227" s="6">
        <v>80.599999999999994</v>
      </c>
      <c r="P227" s="6"/>
      <c r="Q227" s="6">
        <v>108.4</v>
      </c>
      <c r="R227" s="5">
        <v>159</v>
      </c>
      <c r="S227" s="6">
        <v>199.1</v>
      </c>
      <c r="T227" s="6"/>
      <c r="U227" s="6">
        <v>356</v>
      </c>
      <c r="V227" s="6"/>
      <c r="W227" s="6">
        <v>576.5</v>
      </c>
      <c r="X227" s="6">
        <v>865.6</v>
      </c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9" t="s">
        <v>49</v>
      </c>
      <c r="AT227" s="1"/>
      <c r="AU227" s="1"/>
      <c r="AV227" s="1"/>
      <c r="AW227" s="1"/>
      <c r="AX227" s="1"/>
    </row>
    <row r="228" spans="1:50" outlineLevel="1">
      <c r="A228" s="10" t="s">
        <v>292</v>
      </c>
      <c r="B228" s="10" t="s">
        <v>42</v>
      </c>
      <c r="C228" s="10" t="s">
        <v>179</v>
      </c>
      <c r="D228" s="10" t="s">
        <v>210</v>
      </c>
      <c r="E228" s="6"/>
      <c r="F228" s="6"/>
      <c r="G228" s="6"/>
      <c r="H228" s="6">
        <v>31.5</v>
      </c>
      <c r="I228" s="6">
        <v>39.5</v>
      </c>
      <c r="J228" s="6">
        <v>43.3</v>
      </c>
      <c r="L228" s="6">
        <v>60.7</v>
      </c>
      <c r="M228" s="6">
        <v>80.599999999999994</v>
      </c>
      <c r="N228" s="6">
        <v>112.8</v>
      </c>
      <c r="O228" s="6">
        <v>128.5</v>
      </c>
      <c r="P228" s="6"/>
      <c r="Q228" s="6">
        <v>192.8</v>
      </c>
      <c r="R228" s="5">
        <v>287</v>
      </c>
      <c r="S228" s="6">
        <v>364.1</v>
      </c>
      <c r="T228" s="6"/>
      <c r="U228" s="6">
        <v>637.6</v>
      </c>
      <c r="V228" s="6"/>
      <c r="W228" s="6">
        <v>911</v>
      </c>
      <c r="X228" s="6">
        <v>1305.4000000000001</v>
      </c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9" t="s">
        <v>49</v>
      </c>
      <c r="AT228" s="1"/>
      <c r="AU228" s="1"/>
      <c r="AV228" s="1"/>
      <c r="AW228" s="1"/>
      <c r="AX228" s="1"/>
    </row>
    <row r="229" spans="1:50" outlineLevel="1">
      <c r="A229" s="10" t="s">
        <v>292</v>
      </c>
      <c r="B229" s="10" t="s">
        <v>42</v>
      </c>
      <c r="C229" s="24" t="s">
        <v>135</v>
      </c>
      <c r="D229" s="10" t="s">
        <v>92</v>
      </c>
      <c r="E229" s="18"/>
      <c r="F229" s="18"/>
      <c r="G229" s="18"/>
      <c r="H229" s="18"/>
      <c r="I229" s="18"/>
      <c r="J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9" t="s">
        <v>49</v>
      </c>
      <c r="AT229" s="1"/>
      <c r="AU229" s="1"/>
      <c r="AV229" s="1"/>
      <c r="AW229" s="1"/>
      <c r="AX229" s="1"/>
    </row>
    <row r="230" spans="1:50" outlineLevel="1">
      <c r="A230" s="20" t="s">
        <v>261</v>
      </c>
      <c r="B230" s="20" t="s">
        <v>262</v>
      </c>
      <c r="C230" s="20" t="s">
        <v>260</v>
      </c>
      <c r="D230" s="20" t="s">
        <v>48</v>
      </c>
      <c r="E230" s="19" t="s">
        <v>48</v>
      </c>
      <c r="F230" s="19" t="s">
        <v>48</v>
      </c>
      <c r="G230" s="19" t="s">
        <v>48</v>
      </c>
      <c r="H230" s="19" t="s">
        <v>48</v>
      </c>
      <c r="I230" s="19" t="s">
        <v>48</v>
      </c>
      <c r="J230" s="19" t="s">
        <v>48</v>
      </c>
      <c r="K230" s="21" t="s">
        <v>48</v>
      </c>
      <c r="L230" s="19" t="s">
        <v>48</v>
      </c>
      <c r="M230" s="19" t="s">
        <v>48</v>
      </c>
      <c r="N230" s="19" t="s">
        <v>48</v>
      </c>
      <c r="O230" s="19" t="s">
        <v>48</v>
      </c>
      <c r="P230" s="19" t="s">
        <v>48</v>
      </c>
      <c r="Q230" s="19" t="s">
        <v>48</v>
      </c>
      <c r="R230" s="19" t="s">
        <v>48</v>
      </c>
      <c r="S230" s="19" t="s">
        <v>48</v>
      </c>
      <c r="T230" s="19" t="s">
        <v>48</v>
      </c>
      <c r="U230" s="19" t="s">
        <v>48</v>
      </c>
      <c r="V230" s="19"/>
      <c r="W230" s="19" t="s">
        <v>48</v>
      </c>
      <c r="X230" s="19" t="s">
        <v>48</v>
      </c>
      <c r="Y230" s="19" t="s">
        <v>48</v>
      </c>
      <c r="Z230" s="19" t="s">
        <v>48</v>
      </c>
      <c r="AA230" s="19" t="s">
        <v>48</v>
      </c>
      <c r="AB230" s="19" t="s">
        <v>48</v>
      </c>
      <c r="AC230" s="19" t="s">
        <v>48</v>
      </c>
      <c r="AD230" s="19" t="s">
        <v>48</v>
      </c>
      <c r="AE230" s="19" t="s">
        <v>48</v>
      </c>
      <c r="AF230" s="19" t="s">
        <v>48</v>
      </c>
      <c r="AG230" s="19" t="s">
        <v>48</v>
      </c>
      <c r="AH230" s="19" t="s">
        <v>48</v>
      </c>
      <c r="AI230" s="19" t="s">
        <v>48</v>
      </c>
      <c r="AJ230" s="19" t="s">
        <v>48</v>
      </c>
      <c r="AK230" s="19" t="s">
        <v>48</v>
      </c>
      <c r="AL230" s="19" t="s">
        <v>48</v>
      </c>
      <c r="AM230" s="19" t="s">
        <v>48</v>
      </c>
      <c r="AN230" s="19" t="s">
        <v>48</v>
      </c>
      <c r="AO230" s="19" t="s">
        <v>48</v>
      </c>
      <c r="AP230" s="19" t="s">
        <v>48</v>
      </c>
      <c r="AQ230" s="19" t="s">
        <v>48</v>
      </c>
      <c r="AR230" s="19" t="s">
        <v>48</v>
      </c>
      <c r="AS230" s="19" t="s">
        <v>49</v>
      </c>
      <c r="AT230" s="1"/>
      <c r="AU230" s="1"/>
      <c r="AV230" s="1"/>
      <c r="AW230" s="1"/>
      <c r="AX230" s="1"/>
    </row>
    <row r="231" spans="1:50" s="29" customFormat="1">
      <c r="A231" s="17" t="s">
        <v>264</v>
      </c>
      <c r="B231" s="16"/>
      <c r="C231" s="16"/>
      <c r="D231" s="16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19" t="s">
        <v>49</v>
      </c>
      <c r="AT231" s="5"/>
      <c r="AU231" s="5"/>
      <c r="AV231" s="5"/>
      <c r="AW231" s="5"/>
      <c r="AX231" s="5"/>
    </row>
    <row r="232" spans="1:50" collapsed="1">
      <c r="A232" s="10"/>
      <c r="B232" s="10"/>
      <c r="C232" s="10"/>
      <c r="D232" s="10"/>
      <c r="E232" s="4"/>
      <c r="F232" s="4"/>
      <c r="G232" s="4"/>
      <c r="H232" s="4"/>
      <c r="I232" s="4"/>
      <c r="J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1"/>
      <c r="AS232" s="19" t="s">
        <v>49</v>
      </c>
      <c r="AT232" s="1"/>
      <c r="AU232" s="1"/>
      <c r="AV232" s="1"/>
      <c r="AW232" s="1"/>
      <c r="AX232" s="1"/>
    </row>
    <row r="233" spans="1:50" outlineLevel="1">
      <c r="A233" s="10" t="s">
        <v>293</v>
      </c>
      <c r="B233" s="12" t="s">
        <v>41</v>
      </c>
      <c r="C233" s="10" t="s">
        <v>1</v>
      </c>
      <c r="D233" s="10" t="s">
        <v>83</v>
      </c>
      <c r="E233" s="1"/>
      <c r="F233" s="1"/>
      <c r="G233" s="1"/>
      <c r="H233" s="1">
        <v>1.31</v>
      </c>
      <c r="I233" s="1">
        <v>1.68</v>
      </c>
      <c r="J233" s="1">
        <v>2.4300000000000002</v>
      </c>
      <c r="L233" s="1">
        <v>3.89</v>
      </c>
      <c r="M233" s="1">
        <v>5.31</v>
      </c>
      <c r="N233" s="1">
        <v>7.47</v>
      </c>
      <c r="O233" s="1">
        <v>8.7899999999999991</v>
      </c>
      <c r="P233" s="1"/>
      <c r="Q233" s="1">
        <v>12.18</v>
      </c>
      <c r="R233" s="1">
        <v>15</v>
      </c>
      <c r="S233" s="1">
        <v>19.7</v>
      </c>
      <c r="T233" s="1"/>
      <c r="U233" s="1">
        <v>30.1</v>
      </c>
      <c r="V233" s="1"/>
      <c r="W233" s="1">
        <v>42.4</v>
      </c>
      <c r="X233" s="1">
        <v>53</v>
      </c>
      <c r="Y233" s="1"/>
      <c r="Z233" s="1"/>
      <c r="AA233" s="1"/>
      <c r="AB233" s="5"/>
      <c r="AC233" s="22" t="s">
        <v>97</v>
      </c>
      <c r="AD233" s="22" t="s">
        <v>97</v>
      </c>
      <c r="AE233" s="22" t="s">
        <v>97</v>
      </c>
      <c r="AF233" s="22" t="s">
        <v>97</v>
      </c>
      <c r="AG233" s="22" t="s">
        <v>97</v>
      </c>
      <c r="AH233" s="22" t="s">
        <v>97</v>
      </c>
      <c r="AI233" s="22" t="s">
        <v>97</v>
      </c>
      <c r="AJ233" s="22" t="s">
        <v>97</v>
      </c>
      <c r="AK233" s="22" t="s">
        <v>97</v>
      </c>
      <c r="AL233" s="22" t="s">
        <v>97</v>
      </c>
      <c r="AM233" s="22" t="s">
        <v>97</v>
      </c>
      <c r="AN233" s="22" t="s">
        <v>97</v>
      </c>
      <c r="AO233" s="22" t="s">
        <v>97</v>
      </c>
      <c r="AP233" s="22" t="s">
        <v>97</v>
      </c>
      <c r="AQ233" s="22" t="s">
        <v>97</v>
      </c>
      <c r="AR233" s="22" t="s">
        <v>97</v>
      </c>
      <c r="AS233" s="19" t="s">
        <v>49</v>
      </c>
      <c r="AT233" s="1"/>
      <c r="AU233" s="1"/>
      <c r="AV233" s="1"/>
      <c r="AW233" s="1"/>
      <c r="AX233" s="1"/>
    </row>
    <row r="234" spans="1:50" outlineLevel="1">
      <c r="A234" s="10" t="s">
        <v>293</v>
      </c>
      <c r="B234" s="12" t="s">
        <v>41</v>
      </c>
      <c r="C234" s="10" t="s">
        <v>50</v>
      </c>
      <c r="D234" s="10" t="s">
        <v>87</v>
      </c>
      <c r="E234" s="1"/>
      <c r="F234" s="1"/>
      <c r="G234" s="1"/>
      <c r="H234" s="1">
        <v>1.31</v>
      </c>
      <c r="I234" s="1">
        <v>1.68</v>
      </c>
      <c r="J234" s="1">
        <v>2.4300000000000002</v>
      </c>
      <c r="L234" s="1">
        <v>3.89</v>
      </c>
      <c r="M234" s="1">
        <v>5.31</v>
      </c>
      <c r="N234" s="1">
        <v>7.47</v>
      </c>
      <c r="O234" s="1">
        <v>8.7899999999999991</v>
      </c>
      <c r="P234" s="1"/>
      <c r="Q234" s="1">
        <v>12.18</v>
      </c>
      <c r="R234" s="1">
        <v>15</v>
      </c>
      <c r="S234" s="1">
        <v>19.7</v>
      </c>
      <c r="T234" s="1"/>
      <c r="U234" s="1">
        <v>30.1</v>
      </c>
      <c r="V234" s="1"/>
      <c r="W234" s="1">
        <v>42.4</v>
      </c>
      <c r="X234" s="1">
        <v>53</v>
      </c>
      <c r="Y234" s="1"/>
      <c r="Z234" s="1"/>
      <c r="AA234" s="1"/>
      <c r="AB234" s="1"/>
      <c r="AC234" s="22" t="s">
        <v>107</v>
      </c>
      <c r="AD234" s="22" t="s">
        <v>107</v>
      </c>
      <c r="AE234" s="22" t="s">
        <v>107</v>
      </c>
      <c r="AF234" s="22" t="s">
        <v>107</v>
      </c>
      <c r="AG234" s="22" t="s">
        <v>107</v>
      </c>
      <c r="AH234" s="22" t="s">
        <v>107</v>
      </c>
      <c r="AI234" s="22" t="s">
        <v>107</v>
      </c>
      <c r="AJ234" s="22" t="s">
        <v>107</v>
      </c>
      <c r="AK234" s="22" t="s">
        <v>107</v>
      </c>
      <c r="AL234" s="22" t="s">
        <v>107</v>
      </c>
      <c r="AM234" s="22" t="s">
        <v>107</v>
      </c>
      <c r="AN234" s="22" t="s">
        <v>107</v>
      </c>
      <c r="AO234" s="22" t="s">
        <v>107</v>
      </c>
      <c r="AP234" s="22" t="s">
        <v>107</v>
      </c>
      <c r="AQ234" s="22" t="s">
        <v>107</v>
      </c>
      <c r="AR234" s="22" t="s">
        <v>107</v>
      </c>
      <c r="AS234" s="19" t="s">
        <v>49</v>
      </c>
      <c r="AT234" s="1"/>
      <c r="AU234" s="1"/>
      <c r="AV234" s="1"/>
      <c r="AW234" s="1"/>
      <c r="AX234" s="1"/>
    </row>
    <row r="235" spans="1:50" outlineLevel="1">
      <c r="A235" s="10" t="s">
        <v>293</v>
      </c>
      <c r="B235" s="12" t="s">
        <v>41</v>
      </c>
      <c r="C235" s="14" t="s">
        <v>14</v>
      </c>
      <c r="D235" s="10" t="s">
        <v>61</v>
      </c>
      <c r="E235" s="1"/>
      <c r="F235" s="1"/>
      <c r="G235" s="1"/>
      <c r="H235" s="1">
        <v>1.64</v>
      </c>
      <c r="I235" s="1">
        <v>2.2400000000000002</v>
      </c>
      <c r="J235" s="1">
        <v>3.27</v>
      </c>
      <c r="L235" s="1">
        <v>5.47</v>
      </c>
      <c r="M235" s="1">
        <v>7.46</v>
      </c>
      <c r="N235" s="1">
        <v>12</v>
      </c>
      <c r="O235" s="1">
        <v>15.3</v>
      </c>
      <c r="P235" s="1"/>
      <c r="Q235" s="1">
        <v>22.4</v>
      </c>
      <c r="R235" s="1">
        <v>30.5</v>
      </c>
      <c r="S235" s="1">
        <v>41.7</v>
      </c>
      <c r="T235" s="22" t="s">
        <v>97</v>
      </c>
      <c r="U235" s="1">
        <v>63.8</v>
      </c>
      <c r="V235" s="22" t="s">
        <v>97</v>
      </c>
      <c r="W235" s="1">
        <v>93.9</v>
      </c>
      <c r="X235" s="1">
        <v>129</v>
      </c>
      <c r="Y235" s="1"/>
      <c r="Z235" s="1"/>
      <c r="AA235" s="1"/>
      <c r="AB235" s="1"/>
      <c r="AC235" s="22" t="s">
        <v>97</v>
      </c>
      <c r="AD235" s="22" t="s">
        <v>97</v>
      </c>
      <c r="AE235" s="22" t="s">
        <v>97</v>
      </c>
      <c r="AF235" s="22" t="s">
        <v>97</v>
      </c>
      <c r="AG235" s="22" t="s">
        <v>97</v>
      </c>
      <c r="AH235" s="22" t="s">
        <v>97</v>
      </c>
      <c r="AI235" s="22" t="s">
        <v>97</v>
      </c>
      <c r="AJ235" s="22" t="s">
        <v>97</v>
      </c>
      <c r="AK235" s="22" t="s">
        <v>97</v>
      </c>
      <c r="AL235" s="22" t="s">
        <v>97</v>
      </c>
      <c r="AM235" s="22" t="s">
        <v>97</v>
      </c>
      <c r="AN235" s="22" t="s">
        <v>97</v>
      </c>
      <c r="AO235" s="22" t="s">
        <v>97</v>
      </c>
      <c r="AP235" s="22" t="s">
        <v>97</v>
      </c>
      <c r="AQ235" s="22" t="s">
        <v>97</v>
      </c>
      <c r="AR235" s="22" t="s">
        <v>97</v>
      </c>
      <c r="AS235" s="19" t="s">
        <v>49</v>
      </c>
      <c r="AT235" s="1"/>
      <c r="AU235" s="1"/>
      <c r="AV235" s="1"/>
      <c r="AW235" s="1"/>
      <c r="AX235" s="1"/>
    </row>
    <row r="236" spans="1:50" outlineLevel="1">
      <c r="A236" s="10" t="s">
        <v>293</v>
      </c>
      <c r="B236" s="12" t="s">
        <v>41</v>
      </c>
      <c r="C236" s="14" t="s">
        <v>19</v>
      </c>
      <c r="D236" s="10" t="s">
        <v>65</v>
      </c>
      <c r="E236" s="1"/>
      <c r="F236" s="1"/>
      <c r="G236" s="1"/>
      <c r="H236" s="1">
        <v>1.31</v>
      </c>
      <c r="I236" s="1">
        <v>1.74</v>
      </c>
      <c r="J236" s="1">
        <v>2.57</v>
      </c>
      <c r="L236" s="1">
        <v>4.0999999999999996</v>
      </c>
      <c r="M236" s="1">
        <v>5.44</v>
      </c>
      <c r="N236" s="1">
        <v>9.1199999999999992</v>
      </c>
      <c r="O236" s="1">
        <v>11.3</v>
      </c>
      <c r="P236" s="1"/>
      <c r="Q236" s="1">
        <v>16</v>
      </c>
      <c r="R236" s="1">
        <v>21.7</v>
      </c>
      <c r="S236" s="1">
        <v>27.7</v>
      </c>
      <c r="T236" s="22" t="s">
        <v>97</v>
      </c>
      <c r="U236" s="1">
        <v>42.1</v>
      </c>
      <c r="V236" s="22" t="s">
        <v>97</v>
      </c>
      <c r="W236" s="1">
        <v>59.2</v>
      </c>
      <c r="X236" s="1">
        <v>78.3</v>
      </c>
      <c r="Y236" s="1"/>
      <c r="Z236" s="1"/>
      <c r="AA236" s="1"/>
      <c r="AB236" s="1"/>
      <c r="AC236" s="22" t="s">
        <v>97</v>
      </c>
      <c r="AD236" s="22" t="s">
        <v>97</v>
      </c>
      <c r="AE236" s="22" t="s">
        <v>97</v>
      </c>
      <c r="AF236" s="22" t="s">
        <v>97</v>
      </c>
      <c r="AG236" s="22" t="s">
        <v>97</v>
      </c>
      <c r="AH236" s="22" t="s">
        <v>97</v>
      </c>
      <c r="AI236" s="22" t="s">
        <v>97</v>
      </c>
      <c r="AJ236" s="22" t="s">
        <v>97</v>
      </c>
      <c r="AK236" s="22" t="s">
        <v>97</v>
      </c>
      <c r="AL236" s="22" t="s">
        <v>97</v>
      </c>
      <c r="AM236" s="22" t="s">
        <v>97</v>
      </c>
      <c r="AN236" s="22" t="s">
        <v>97</v>
      </c>
      <c r="AO236" s="22" t="s">
        <v>97</v>
      </c>
      <c r="AP236" s="22" t="s">
        <v>97</v>
      </c>
      <c r="AQ236" s="22" t="s">
        <v>97</v>
      </c>
      <c r="AR236" s="22" t="s">
        <v>97</v>
      </c>
      <c r="AS236" s="19" t="s">
        <v>49</v>
      </c>
      <c r="AT236" s="1"/>
      <c r="AU236" s="1"/>
      <c r="AV236" s="1"/>
      <c r="AW236" s="1"/>
      <c r="AX236" s="1"/>
    </row>
    <row r="237" spans="1:50" outlineLevel="1">
      <c r="A237" s="10" t="s">
        <v>293</v>
      </c>
      <c r="B237" s="12" t="s">
        <v>41</v>
      </c>
      <c r="C237" s="14" t="s">
        <v>23</v>
      </c>
      <c r="D237" s="10" t="s">
        <v>68</v>
      </c>
      <c r="E237" s="1"/>
      <c r="F237" s="1"/>
      <c r="G237" s="1"/>
      <c r="H237" s="1">
        <v>1.02</v>
      </c>
      <c r="I237" s="1">
        <v>1.3</v>
      </c>
      <c r="J237" s="1">
        <v>2.15</v>
      </c>
      <c r="L237" s="1">
        <v>3.16</v>
      </c>
      <c r="M237" s="1">
        <v>3.98</v>
      </c>
      <c r="N237" s="1">
        <v>5.42</v>
      </c>
      <c r="O237" s="1">
        <v>6.37</v>
      </c>
      <c r="P237" s="1"/>
      <c r="Q237" s="1">
        <v>8.23</v>
      </c>
      <c r="R237" s="1">
        <v>11.4</v>
      </c>
      <c r="S237" s="1">
        <v>13.6</v>
      </c>
      <c r="T237" s="1"/>
      <c r="U237" s="1">
        <v>20.9</v>
      </c>
      <c r="V237" s="1"/>
      <c r="W237" s="1">
        <v>26</v>
      </c>
      <c r="X237" s="1">
        <v>34.799999999999997</v>
      </c>
      <c r="Y237" s="22" t="s">
        <v>97</v>
      </c>
      <c r="Z237" s="22" t="s">
        <v>97</v>
      </c>
      <c r="AA237" s="22" t="s">
        <v>97</v>
      </c>
      <c r="AB237" s="22" t="s">
        <v>97</v>
      </c>
      <c r="AC237" s="22" t="s">
        <v>97</v>
      </c>
      <c r="AD237" s="22" t="s">
        <v>97</v>
      </c>
      <c r="AE237" s="22" t="s">
        <v>97</v>
      </c>
      <c r="AF237" s="22" t="s">
        <v>97</v>
      </c>
      <c r="AG237" s="22" t="s">
        <v>97</v>
      </c>
      <c r="AH237" s="22" t="s">
        <v>97</v>
      </c>
      <c r="AI237" s="22" t="s">
        <v>97</v>
      </c>
      <c r="AJ237" s="22" t="s">
        <v>97</v>
      </c>
      <c r="AK237" s="22" t="s">
        <v>97</v>
      </c>
      <c r="AL237" s="22" t="s">
        <v>97</v>
      </c>
      <c r="AM237" s="22" t="s">
        <v>97</v>
      </c>
      <c r="AN237" s="22" t="s">
        <v>97</v>
      </c>
      <c r="AO237" s="22" t="s">
        <v>97</v>
      </c>
      <c r="AP237" s="22" t="s">
        <v>97</v>
      </c>
      <c r="AQ237" s="22" t="s">
        <v>97</v>
      </c>
      <c r="AR237" s="22" t="s">
        <v>97</v>
      </c>
      <c r="AS237" s="19" t="s">
        <v>49</v>
      </c>
      <c r="AT237" s="1"/>
      <c r="AU237" s="1"/>
      <c r="AV237" s="1"/>
      <c r="AW237" s="1"/>
      <c r="AX237" s="1"/>
    </row>
    <row r="238" spans="1:50" outlineLevel="1">
      <c r="A238" s="10" t="s">
        <v>293</v>
      </c>
      <c r="B238" s="12" t="s">
        <v>41</v>
      </c>
      <c r="C238" s="14" t="s">
        <v>28</v>
      </c>
      <c r="D238" s="10" t="s">
        <v>73</v>
      </c>
      <c r="E238" s="1"/>
      <c r="F238" s="1"/>
      <c r="G238" s="1"/>
      <c r="H238" s="1">
        <v>1.31</v>
      </c>
      <c r="I238" s="1">
        <v>1.74</v>
      </c>
      <c r="J238" s="1">
        <v>2.57</v>
      </c>
      <c r="L238" s="1">
        <v>4.0999999999999996</v>
      </c>
      <c r="M238" s="1">
        <v>5.44</v>
      </c>
      <c r="N238" s="1">
        <v>9.1199999999999992</v>
      </c>
      <c r="O238" s="1">
        <v>11.3</v>
      </c>
      <c r="P238" s="1"/>
      <c r="Q238" s="1">
        <v>16</v>
      </c>
      <c r="R238" s="1">
        <v>21.7</v>
      </c>
      <c r="S238" s="1">
        <v>27.7</v>
      </c>
      <c r="T238" s="1"/>
      <c r="U238" s="1">
        <v>42.1</v>
      </c>
      <c r="V238" s="1"/>
      <c r="W238" s="1">
        <v>59.2</v>
      </c>
      <c r="X238" s="1">
        <v>78.3</v>
      </c>
      <c r="Y238" s="1"/>
      <c r="Z238" s="1"/>
      <c r="AA238" s="1"/>
      <c r="AB238" s="1"/>
      <c r="AC238" s="1"/>
      <c r="AD238" s="1"/>
      <c r="AE238" s="1"/>
      <c r="AF238" s="22" t="s">
        <v>97</v>
      </c>
      <c r="AG238" s="22" t="s">
        <v>97</v>
      </c>
      <c r="AH238" s="22" t="s">
        <v>97</v>
      </c>
      <c r="AI238" s="22" t="s">
        <v>97</v>
      </c>
      <c r="AJ238" s="22" t="s">
        <v>97</v>
      </c>
      <c r="AK238" s="22" t="s">
        <v>97</v>
      </c>
      <c r="AL238" s="22" t="s">
        <v>97</v>
      </c>
      <c r="AM238" s="22" t="s">
        <v>97</v>
      </c>
      <c r="AN238" s="22" t="s">
        <v>97</v>
      </c>
      <c r="AO238" s="22" t="s">
        <v>97</v>
      </c>
      <c r="AP238" s="22" t="s">
        <v>97</v>
      </c>
      <c r="AQ238" s="22" t="s">
        <v>97</v>
      </c>
      <c r="AR238" s="22" t="s">
        <v>97</v>
      </c>
      <c r="AS238" s="19" t="s">
        <v>49</v>
      </c>
      <c r="AT238" s="1"/>
      <c r="AU238" s="1"/>
      <c r="AV238" s="1"/>
      <c r="AW238" s="1"/>
      <c r="AX238" s="1"/>
    </row>
    <row r="239" spans="1:50" outlineLevel="1">
      <c r="A239" s="10" t="s">
        <v>293</v>
      </c>
      <c r="B239" s="12" t="s">
        <v>41</v>
      </c>
      <c r="C239" s="14" t="s">
        <v>30</v>
      </c>
      <c r="D239" s="10" t="s">
        <v>75</v>
      </c>
      <c r="E239" s="1"/>
      <c r="F239" s="1"/>
      <c r="G239" s="1"/>
      <c r="H239" s="1">
        <v>1.02</v>
      </c>
      <c r="I239" s="1">
        <v>1.3</v>
      </c>
      <c r="J239" s="1">
        <v>2.15</v>
      </c>
      <c r="L239" s="1">
        <v>3.16</v>
      </c>
      <c r="M239" s="1">
        <v>3.98</v>
      </c>
      <c r="N239" s="1">
        <v>5.42</v>
      </c>
      <c r="O239" s="1">
        <v>6.37</v>
      </c>
      <c r="P239" s="1"/>
      <c r="Q239" s="1">
        <v>8.23</v>
      </c>
      <c r="R239" s="1">
        <v>11.4</v>
      </c>
      <c r="S239" s="1">
        <v>13.6</v>
      </c>
      <c r="T239" s="1"/>
      <c r="U239" s="1">
        <v>20.9</v>
      </c>
      <c r="V239" s="1"/>
      <c r="W239" s="1">
        <v>26</v>
      </c>
      <c r="X239" s="1">
        <v>34.799999999999997</v>
      </c>
      <c r="Y239" s="22" t="s">
        <v>97</v>
      </c>
      <c r="Z239" s="22" t="s">
        <v>97</v>
      </c>
      <c r="AA239" s="22" t="s">
        <v>97</v>
      </c>
      <c r="AB239" s="22" t="s">
        <v>97</v>
      </c>
      <c r="AC239" s="22" t="s">
        <v>97</v>
      </c>
      <c r="AD239" s="22" t="s">
        <v>97</v>
      </c>
      <c r="AE239" s="22" t="s">
        <v>97</v>
      </c>
      <c r="AF239" s="22" t="s">
        <v>97</v>
      </c>
      <c r="AG239" s="22" t="s">
        <v>97</v>
      </c>
      <c r="AH239" s="22" t="s">
        <v>97</v>
      </c>
      <c r="AI239" s="22" t="s">
        <v>97</v>
      </c>
      <c r="AJ239" s="22" t="s">
        <v>97</v>
      </c>
      <c r="AK239" s="22" t="s">
        <v>97</v>
      </c>
      <c r="AL239" s="22" t="s">
        <v>97</v>
      </c>
      <c r="AM239" s="22" t="s">
        <v>97</v>
      </c>
      <c r="AN239" s="22" t="s">
        <v>97</v>
      </c>
      <c r="AO239" s="22" t="s">
        <v>97</v>
      </c>
      <c r="AP239" s="22" t="s">
        <v>97</v>
      </c>
      <c r="AQ239" s="22" t="s">
        <v>97</v>
      </c>
      <c r="AR239" s="22" t="s">
        <v>97</v>
      </c>
      <c r="AS239" s="19" t="s">
        <v>49</v>
      </c>
      <c r="AT239" s="1"/>
      <c r="AU239" s="1"/>
      <c r="AV239" s="1"/>
      <c r="AW239" s="1"/>
      <c r="AX239" s="1"/>
    </row>
    <row r="240" spans="1:50" outlineLevel="1">
      <c r="A240" s="10" t="s">
        <v>293</v>
      </c>
      <c r="B240" s="12" t="s">
        <v>41</v>
      </c>
      <c r="C240" s="14" t="s">
        <v>33</v>
      </c>
      <c r="D240" s="10" t="s">
        <v>81</v>
      </c>
      <c r="E240" s="1"/>
      <c r="F240" s="1"/>
      <c r="G240" s="1"/>
      <c r="H240" s="1">
        <v>1.31</v>
      </c>
      <c r="I240" s="1">
        <v>1.74</v>
      </c>
      <c r="J240" s="1">
        <v>2.57</v>
      </c>
      <c r="L240" s="1">
        <v>4.0999999999999996</v>
      </c>
      <c r="M240" s="1">
        <v>5.44</v>
      </c>
      <c r="N240" s="1">
        <v>9.1199999999999992</v>
      </c>
      <c r="O240" s="1">
        <v>11.3</v>
      </c>
      <c r="P240" s="1"/>
      <c r="Q240" s="1">
        <v>16</v>
      </c>
      <c r="R240" s="1">
        <v>21.7</v>
      </c>
      <c r="S240" s="1">
        <v>27.7</v>
      </c>
      <c r="T240" s="1"/>
      <c r="U240" s="1">
        <v>42.1</v>
      </c>
      <c r="V240" s="1"/>
      <c r="W240" s="1">
        <v>59.2</v>
      </c>
      <c r="X240" s="1">
        <v>78.3</v>
      </c>
      <c r="Y240" s="1"/>
      <c r="Z240" s="1"/>
      <c r="AA240" s="1"/>
      <c r="AB240" s="1"/>
      <c r="AC240" s="1"/>
      <c r="AD240" s="1"/>
      <c r="AE240" s="1"/>
      <c r="AF240" s="22" t="s">
        <v>97</v>
      </c>
      <c r="AG240" s="22" t="s">
        <v>97</v>
      </c>
      <c r="AH240" s="22" t="s">
        <v>97</v>
      </c>
      <c r="AI240" s="22" t="s">
        <v>97</v>
      </c>
      <c r="AJ240" s="22" t="s">
        <v>97</v>
      </c>
      <c r="AK240" s="22" t="s">
        <v>97</v>
      </c>
      <c r="AL240" s="22" t="s">
        <v>97</v>
      </c>
      <c r="AM240" s="22" t="s">
        <v>97</v>
      </c>
      <c r="AN240" s="22" t="s">
        <v>97</v>
      </c>
      <c r="AO240" s="22" t="s">
        <v>97</v>
      </c>
      <c r="AP240" s="22" t="s">
        <v>97</v>
      </c>
      <c r="AQ240" s="22" t="s">
        <v>97</v>
      </c>
      <c r="AR240" s="22" t="s">
        <v>97</v>
      </c>
      <c r="AS240" s="19" t="s">
        <v>49</v>
      </c>
      <c r="AT240" s="1"/>
      <c r="AU240" s="1"/>
      <c r="AV240" s="1"/>
      <c r="AW240" s="1"/>
      <c r="AX240" s="1"/>
    </row>
    <row r="241" spans="1:50" outlineLevel="1">
      <c r="A241" s="10" t="s">
        <v>293</v>
      </c>
      <c r="B241" s="12" t="s">
        <v>41</v>
      </c>
      <c r="C241" s="10" t="s">
        <v>51</v>
      </c>
      <c r="D241" s="10" t="s">
        <v>93</v>
      </c>
      <c r="E241" s="18"/>
      <c r="F241" s="18"/>
      <c r="G241" s="18"/>
      <c r="H241" s="59">
        <f t="shared" ref="H241:X241" si="6">H233*1</f>
        <v>1.31</v>
      </c>
      <c r="I241" s="59">
        <f t="shared" si="6"/>
        <v>1.68</v>
      </c>
      <c r="J241" s="59">
        <f t="shared" si="6"/>
        <v>2.4300000000000002</v>
      </c>
      <c r="L241" s="59">
        <f t="shared" si="6"/>
        <v>3.89</v>
      </c>
      <c r="M241" s="59">
        <f t="shared" si="6"/>
        <v>5.31</v>
      </c>
      <c r="N241" s="59">
        <f t="shared" si="6"/>
        <v>7.47</v>
      </c>
      <c r="O241" s="59">
        <f t="shared" si="6"/>
        <v>8.7899999999999991</v>
      </c>
      <c r="P241" s="18"/>
      <c r="Q241" s="59">
        <f t="shared" si="6"/>
        <v>12.18</v>
      </c>
      <c r="R241" s="59">
        <f t="shared" si="6"/>
        <v>15</v>
      </c>
      <c r="S241" s="59">
        <f t="shared" si="6"/>
        <v>19.7</v>
      </c>
      <c r="T241" s="18"/>
      <c r="U241" s="59">
        <f>U233*1</f>
        <v>30.1</v>
      </c>
      <c r="V241" s="18"/>
      <c r="W241" s="59">
        <f t="shared" si="6"/>
        <v>42.4</v>
      </c>
      <c r="X241" s="59">
        <f t="shared" si="6"/>
        <v>53</v>
      </c>
      <c r="Y241" s="1"/>
      <c r="Z241" s="1"/>
      <c r="AA241" s="1"/>
      <c r="AB241" s="1"/>
      <c r="AC241" s="22" t="s">
        <v>97</v>
      </c>
      <c r="AD241" s="22" t="s">
        <v>97</v>
      </c>
      <c r="AE241" s="22" t="s">
        <v>97</v>
      </c>
      <c r="AF241" s="22" t="s">
        <v>97</v>
      </c>
      <c r="AG241" s="22" t="s">
        <v>97</v>
      </c>
      <c r="AH241" s="22" t="s">
        <v>97</v>
      </c>
      <c r="AI241" s="22" t="s">
        <v>97</v>
      </c>
      <c r="AJ241" s="22" t="s">
        <v>97</v>
      </c>
      <c r="AK241" s="22" t="s">
        <v>97</v>
      </c>
      <c r="AL241" s="22" t="s">
        <v>97</v>
      </c>
      <c r="AM241" s="22" t="s">
        <v>97</v>
      </c>
      <c r="AN241" s="22" t="s">
        <v>97</v>
      </c>
      <c r="AO241" s="22" t="s">
        <v>97</v>
      </c>
      <c r="AP241" s="22" t="s">
        <v>97</v>
      </c>
      <c r="AQ241" s="22" t="s">
        <v>97</v>
      </c>
      <c r="AR241" s="22" t="s">
        <v>97</v>
      </c>
      <c r="AS241" s="19" t="s">
        <v>48</v>
      </c>
      <c r="AT241" s="1"/>
      <c r="AU241" s="1"/>
      <c r="AV241" s="1"/>
      <c r="AW241" s="1"/>
      <c r="AX241" s="1"/>
    </row>
    <row r="242" spans="1:50" outlineLevel="1">
      <c r="A242" s="10" t="s">
        <v>293</v>
      </c>
      <c r="B242" s="12" t="s">
        <v>41</v>
      </c>
      <c r="C242" s="10" t="s">
        <v>52</v>
      </c>
      <c r="D242" s="10" t="s">
        <v>94</v>
      </c>
      <c r="E242" s="18"/>
      <c r="F242" s="18"/>
      <c r="G242" s="18"/>
      <c r="H242" s="18"/>
      <c r="I242" s="18"/>
      <c r="J242" s="18"/>
      <c r="L242" s="18"/>
      <c r="M242" s="18"/>
      <c r="N242" s="18"/>
      <c r="O242" s="18"/>
      <c r="P242" s="18"/>
      <c r="Q242" s="18"/>
      <c r="R242" s="18"/>
      <c r="S242" s="18"/>
      <c r="T242" s="23" t="s">
        <v>97</v>
      </c>
      <c r="U242" s="18"/>
      <c r="V242" s="23" t="s">
        <v>97</v>
      </c>
      <c r="W242" s="18"/>
      <c r="X242" s="18"/>
      <c r="Y242" s="1"/>
      <c r="Z242" s="1"/>
      <c r="AA242" s="1"/>
      <c r="AB242" s="1"/>
      <c r="AC242" s="22" t="s">
        <v>97</v>
      </c>
      <c r="AD242" s="22" t="s">
        <v>97</v>
      </c>
      <c r="AE242" s="22" t="s">
        <v>97</v>
      </c>
      <c r="AF242" s="22" t="s">
        <v>97</v>
      </c>
      <c r="AG242" s="22" t="s">
        <v>97</v>
      </c>
      <c r="AH242" s="22" t="s">
        <v>97</v>
      </c>
      <c r="AI242" s="22" t="s">
        <v>97</v>
      </c>
      <c r="AJ242" s="22" t="s">
        <v>97</v>
      </c>
      <c r="AK242" s="22" t="s">
        <v>97</v>
      </c>
      <c r="AL242" s="22" t="s">
        <v>97</v>
      </c>
      <c r="AM242" s="22" t="s">
        <v>97</v>
      </c>
      <c r="AN242" s="22" t="s">
        <v>97</v>
      </c>
      <c r="AO242" s="22" t="s">
        <v>97</v>
      </c>
      <c r="AP242" s="22" t="s">
        <v>97</v>
      </c>
      <c r="AQ242" s="22" t="s">
        <v>97</v>
      </c>
      <c r="AR242" s="22" t="s">
        <v>97</v>
      </c>
      <c r="AS242" s="19" t="s">
        <v>48</v>
      </c>
      <c r="AT242" s="1"/>
      <c r="AU242" s="1"/>
      <c r="AV242" s="1"/>
      <c r="AW242" s="1"/>
      <c r="AX242" s="1"/>
    </row>
    <row r="243" spans="1:50" outlineLevel="1">
      <c r="A243" s="10" t="s">
        <v>293</v>
      </c>
      <c r="B243" s="12" t="s">
        <v>41</v>
      </c>
      <c r="C243" s="10" t="s">
        <v>90</v>
      </c>
      <c r="D243" s="10" t="s">
        <v>88</v>
      </c>
      <c r="E243" s="18"/>
      <c r="F243" s="18"/>
      <c r="G243" s="18"/>
      <c r="H243" s="18"/>
      <c r="I243" s="18"/>
      <c r="J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"/>
      <c r="Z243" s="1"/>
      <c r="AA243" s="1"/>
      <c r="AB243" s="1"/>
      <c r="AC243" s="22" t="s">
        <v>97</v>
      </c>
      <c r="AD243" s="22" t="s">
        <v>97</v>
      </c>
      <c r="AE243" s="22" t="s">
        <v>97</v>
      </c>
      <c r="AF243" s="22" t="s">
        <v>97</v>
      </c>
      <c r="AG243" s="22" t="s">
        <v>97</v>
      </c>
      <c r="AH243" s="22" t="s">
        <v>97</v>
      </c>
      <c r="AI243" s="22" t="s">
        <v>97</v>
      </c>
      <c r="AJ243" s="22" t="s">
        <v>97</v>
      </c>
      <c r="AK243" s="22" t="s">
        <v>97</v>
      </c>
      <c r="AL243" s="22" t="s">
        <v>97</v>
      </c>
      <c r="AM243" s="22" t="s">
        <v>97</v>
      </c>
      <c r="AN243" s="22" t="s">
        <v>97</v>
      </c>
      <c r="AO243" s="22" t="s">
        <v>97</v>
      </c>
      <c r="AP243" s="22" t="s">
        <v>97</v>
      </c>
      <c r="AQ243" s="22" t="s">
        <v>97</v>
      </c>
      <c r="AR243" s="22" t="s">
        <v>97</v>
      </c>
      <c r="AS243" s="19" t="s">
        <v>48</v>
      </c>
      <c r="AT243" s="1"/>
      <c r="AU243" s="1"/>
      <c r="AV243" s="1"/>
      <c r="AW243" s="1"/>
      <c r="AX243" s="1"/>
    </row>
    <row r="244" spans="1:50" outlineLevel="1">
      <c r="A244" s="10" t="s">
        <v>293</v>
      </c>
      <c r="B244" s="12" t="s">
        <v>41</v>
      </c>
      <c r="C244" s="10" t="s">
        <v>91</v>
      </c>
      <c r="D244" s="10" t="s">
        <v>89</v>
      </c>
      <c r="E244" s="18"/>
      <c r="F244" s="18"/>
      <c r="G244" s="18"/>
      <c r="H244" s="18"/>
      <c r="I244" s="18"/>
      <c r="J244" s="18"/>
      <c r="L244" s="18"/>
      <c r="M244" s="18"/>
      <c r="N244" s="18"/>
      <c r="O244" s="18"/>
      <c r="P244" s="18"/>
      <c r="Q244" s="18"/>
      <c r="R244" s="18"/>
      <c r="S244" s="18"/>
      <c r="T244" s="23" t="s">
        <v>97</v>
      </c>
      <c r="U244" s="18"/>
      <c r="V244" s="23" t="s">
        <v>97</v>
      </c>
      <c r="W244" s="18"/>
      <c r="X244" s="18"/>
      <c r="Y244" s="1"/>
      <c r="Z244" s="1"/>
      <c r="AA244" s="1"/>
      <c r="AB244" s="1"/>
      <c r="AC244" s="22" t="s">
        <v>97</v>
      </c>
      <c r="AD244" s="22" t="s">
        <v>97</v>
      </c>
      <c r="AE244" s="22" t="s">
        <v>97</v>
      </c>
      <c r="AF244" s="22" t="s">
        <v>97</v>
      </c>
      <c r="AG244" s="22" t="s">
        <v>97</v>
      </c>
      <c r="AH244" s="22" t="s">
        <v>97</v>
      </c>
      <c r="AI244" s="22" t="s">
        <v>97</v>
      </c>
      <c r="AJ244" s="22" t="s">
        <v>97</v>
      </c>
      <c r="AK244" s="22" t="s">
        <v>97</v>
      </c>
      <c r="AL244" s="22" t="s">
        <v>97</v>
      </c>
      <c r="AM244" s="22" t="s">
        <v>97</v>
      </c>
      <c r="AN244" s="22" t="s">
        <v>97</v>
      </c>
      <c r="AO244" s="22" t="s">
        <v>97</v>
      </c>
      <c r="AP244" s="22" t="s">
        <v>97</v>
      </c>
      <c r="AQ244" s="22" t="s">
        <v>97</v>
      </c>
      <c r="AR244" s="22" t="s">
        <v>97</v>
      </c>
      <c r="AS244" s="19" t="s">
        <v>48</v>
      </c>
      <c r="AT244" s="1"/>
      <c r="AU244" s="1"/>
      <c r="AV244" s="1"/>
      <c r="AW244" s="1"/>
      <c r="AX244" s="1"/>
    </row>
    <row r="245" spans="1:50" outlineLevel="1">
      <c r="A245" s="10" t="s">
        <v>293</v>
      </c>
      <c r="B245" s="12" t="s">
        <v>41</v>
      </c>
      <c r="C245" s="10" t="s">
        <v>95</v>
      </c>
      <c r="D245" s="10" t="s">
        <v>96</v>
      </c>
      <c r="E245" s="18"/>
      <c r="F245" s="18"/>
      <c r="G245" s="18"/>
      <c r="H245" s="18"/>
      <c r="I245" s="18"/>
      <c r="J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"/>
      <c r="Z245" s="1"/>
      <c r="AA245" s="1"/>
      <c r="AB245" s="1"/>
      <c r="AC245" s="22" t="s">
        <v>97</v>
      </c>
      <c r="AD245" s="22" t="s">
        <v>97</v>
      </c>
      <c r="AE245" s="22" t="s">
        <v>97</v>
      </c>
      <c r="AF245" s="22" t="s">
        <v>97</v>
      </c>
      <c r="AG245" s="22" t="s">
        <v>97</v>
      </c>
      <c r="AH245" s="22" t="s">
        <v>97</v>
      </c>
      <c r="AI245" s="22" t="s">
        <v>97</v>
      </c>
      <c r="AJ245" s="22" t="s">
        <v>97</v>
      </c>
      <c r="AK245" s="22" t="s">
        <v>97</v>
      </c>
      <c r="AL245" s="22" t="s">
        <v>97</v>
      </c>
      <c r="AM245" s="22" t="s">
        <v>97</v>
      </c>
      <c r="AN245" s="22" t="s">
        <v>97</v>
      </c>
      <c r="AO245" s="22" t="s">
        <v>97</v>
      </c>
      <c r="AP245" s="22" t="s">
        <v>97</v>
      </c>
      <c r="AQ245" s="22" t="s">
        <v>97</v>
      </c>
      <c r="AR245" s="22" t="s">
        <v>97</v>
      </c>
      <c r="AS245" s="19" t="s">
        <v>48</v>
      </c>
      <c r="AT245" s="1"/>
      <c r="AU245" s="1"/>
      <c r="AV245" s="1"/>
      <c r="AW245" s="1"/>
      <c r="AX245" s="1"/>
    </row>
    <row r="246" spans="1:50" outlineLevel="1">
      <c r="A246" s="10" t="s">
        <v>293</v>
      </c>
      <c r="B246" s="12" t="s">
        <v>41</v>
      </c>
      <c r="C246" s="10" t="s">
        <v>126</v>
      </c>
      <c r="D246" s="10" t="s">
        <v>134</v>
      </c>
      <c r="E246" s="18"/>
      <c r="F246" s="18"/>
      <c r="G246" s="18"/>
      <c r="H246" s="18"/>
      <c r="I246" s="18"/>
      <c r="J246" s="18"/>
      <c r="L246" s="18"/>
      <c r="M246" s="18"/>
      <c r="N246" s="18"/>
      <c r="O246" s="18"/>
      <c r="P246" s="18"/>
      <c r="Q246" s="18"/>
      <c r="R246" s="18"/>
      <c r="S246" s="18"/>
      <c r="T246" s="23" t="s">
        <v>97</v>
      </c>
      <c r="U246" s="18"/>
      <c r="V246" s="23" t="s">
        <v>97</v>
      </c>
      <c r="W246" s="18"/>
      <c r="X246" s="18"/>
      <c r="Y246" s="1"/>
      <c r="Z246" s="1"/>
      <c r="AA246" s="1"/>
      <c r="AB246" s="1"/>
      <c r="AC246" s="22" t="s">
        <v>97</v>
      </c>
      <c r="AD246" s="22" t="s">
        <v>97</v>
      </c>
      <c r="AE246" s="22" t="s">
        <v>97</v>
      </c>
      <c r="AF246" s="22" t="s">
        <v>97</v>
      </c>
      <c r="AG246" s="22" t="s">
        <v>97</v>
      </c>
      <c r="AH246" s="22" t="s">
        <v>97</v>
      </c>
      <c r="AI246" s="22" t="s">
        <v>97</v>
      </c>
      <c r="AJ246" s="22" t="s">
        <v>97</v>
      </c>
      <c r="AK246" s="22" t="s">
        <v>97</v>
      </c>
      <c r="AL246" s="22" t="s">
        <v>97</v>
      </c>
      <c r="AM246" s="22" t="s">
        <v>97</v>
      </c>
      <c r="AN246" s="22" t="s">
        <v>97</v>
      </c>
      <c r="AO246" s="22" t="s">
        <v>97</v>
      </c>
      <c r="AP246" s="22" t="s">
        <v>97</v>
      </c>
      <c r="AQ246" s="22" t="s">
        <v>97</v>
      </c>
      <c r="AR246" s="22" t="s">
        <v>97</v>
      </c>
      <c r="AS246" s="19" t="s">
        <v>48</v>
      </c>
      <c r="AT246" s="1"/>
      <c r="AU246" s="1"/>
      <c r="AV246" s="1"/>
      <c r="AW246" s="1"/>
      <c r="AX246" s="1"/>
    </row>
    <row r="247" spans="1:50" outlineLevel="1">
      <c r="A247" s="10" t="s">
        <v>293</v>
      </c>
      <c r="B247" s="12" t="s">
        <v>41</v>
      </c>
      <c r="C247" s="24" t="s">
        <v>135</v>
      </c>
      <c r="D247" s="10" t="s">
        <v>92</v>
      </c>
      <c r="E247" s="18"/>
      <c r="F247" s="18"/>
      <c r="G247" s="18"/>
      <c r="H247" s="18"/>
      <c r="I247" s="18"/>
      <c r="J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9" t="s">
        <v>48</v>
      </c>
      <c r="AT247" s="1"/>
      <c r="AU247" s="1"/>
      <c r="AV247" s="1"/>
      <c r="AW247" s="1"/>
      <c r="AX247" s="1"/>
    </row>
    <row r="248" spans="1:50" outlineLevel="1">
      <c r="A248" s="20" t="s">
        <v>245</v>
      </c>
      <c r="B248" s="20" t="s">
        <v>246</v>
      </c>
      <c r="C248" s="20" t="s">
        <v>247</v>
      </c>
      <c r="D248" s="20" t="s">
        <v>48</v>
      </c>
      <c r="E248" s="19" t="s">
        <v>48</v>
      </c>
      <c r="F248" s="19" t="s">
        <v>48</v>
      </c>
      <c r="G248" s="19" t="s">
        <v>48</v>
      </c>
      <c r="H248" s="19" t="s">
        <v>48</v>
      </c>
      <c r="I248" s="19" t="s">
        <v>48</v>
      </c>
      <c r="J248" s="19" t="s">
        <v>48</v>
      </c>
      <c r="K248" s="21" t="s">
        <v>48</v>
      </c>
      <c r="L248" s="19" t="s">
        <v>48</v>
      </c>
      <c r="M248" s="19" t="s">
        <v>48</v>
      </c>
      <c r="N248" s="19" t="s">
        <v>48</v>
      </c>
      <c r="O248" s="19" t="s">
        <v>48</v>
      </c>
      <c r="P248" s="19" t="s">
        <v>48</v>
      </c>
      <c r="Q248" s="19" t="s">
        <v>48</v>
      </c>
      <c r="R248" s="19" t="s">
        <v>48</v>
      </c>
      <c r="S248" s="19" t="s">
        <v>48</v>
      </c>
      <c r="T248" s="19" t="s">
        <v>48</v>
      </c>
      <c r="U248" s="19" t="s">
        <v>48</v>
      </c>
      <c r="V248" s="19"/>
      <c r="W248" s="19" t="s">
        <v>48</v>
      </c>
      <c r="X248" s="19" t="s">
        <v>48</v>
      </c>
      <c r="Y248" s="19" t="s">
        <v>48</v>
      </c>
      <c r="Z248" s="19" t="s">
        <v>48</v>
      </c>
      <c r="AA248" s="19" t="s">
        <v>48</v>
      </c>
      <c r="AB248" s="19" t="s">
        <v>48</v>
      </c>
      <c r="AC248" s="19" t="s">
        <v>48</v>
      </c>
      <c r="AD248" s="19" t="s">
        <v>48</v>
      </c>
      <c r="AE248" s="19" t="s">
        <v>48</v>
      </c>
      <c r="AF248" s="19" t="s">
        <v>48</v>
      </c>
      <c r="AG248" s="19" t="s">
        <v>48</v>
      </c>
      <c r="AH248" s="19" t="s">
        <v>48</v>
      </c>
      <c r="AI248" s="19" t="s">
        <v>48</v>
      </c>
      <c r="AJ248" s="19" t="s">
        <v>48</v>
      </c>
      <c r="AK248" s="19" t="s">
        <v>48</v>
      </c>
      <c r="AL248" s="19" t="s">
        <v>48</v>
      </c>
      <c r="AM248" s="19" t="s">
        <v>48</v>
      </c>
      <c r="AN248" s="19" t="s">
        <v>48</v>
      </c>
      <c r="AO248" s="19" t="s">
        <v>48</v>
      </c>
      <c r="AP248" s="19" t="s">
        <v>48</v>
      </c>
      <c r="AQ248" s="19" t="s">
        <v>48</v>
      </c>
      <c r="AR248" s="19" t="s">
        <v>48</v>
      </c>
      <c r="AS248" s="19" t="s">
        <v>48</v>
      </c>
      <c r="AT248" s="1"/>
      <c r="AU248" s="1"/>
      <c r="AV248" s="1"/>
      <c r="AW248" s="1"/>
      <c r="AX248" s="1"/>
    </row>
    <row r="249" spans="1:50" s="29" customFormat="1">
      <c r="A249" s="17" t="s">
        <v>45</v>
      </c>
      <c r="B249" s="16"/>
      <c r="C249" s="16"/>
      <c r="D249" s="16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 t="s">
        <v>35</v>
      </c>
      <c r="T249" s="9"/>
      <c r="U249" s="9"/>
      <c r="V249" s="9"/>
      <c r="W249" s="9"/>
      <c r="X249" s="9" t="s">
        <v>35</v>
      </c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19" t="s">
        <v>49</v>
      </c>
      <c r="AT249" s="5"/>
      <c r="AU249" s="5"/>
      <c r="AV249" s="5"/>
      <c r="AW249" s="5"/>
      <c r="AX249" s="5"/>
    </row>
    <row r="250" spans="1:50">
      <c r="A250" s="10"/>
      <c r="B250" s="10"/>
      <c r="C250" s="10"/>
      <c r="D250" s="10"/>
      <c r="E250" s="1"/>
      <c r="F250" s="1"/>
      <c r="G250" s="1"/>
      <c r="H250" s="1"/>
      <c r="I250" s="1"/>
      <c r="J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9" t="s">
        <v>49</v>
      </c>
      <c r="AT250" s="1"/>
      <c r="AU250" s="1"/>
      <c r="AV250" s="1"/>
      <c r="AW250" s="1"/>
      <c r="AX250" s="1"/>
    </row>
    <row r="251" spans="1:50">
      <c r="A251" s="10"/>
      <c r="B251" s="10"/>
      <c r="C251" s="10"/>
      <c r="D251" s="10"/>
      <c r="E251" s="1"/>
      <c r="F251" s="1"/>
      <c r="G251" s="1"/>
      <c r="H251" s="1"/>
      <c r="I251" s="1"/>
      <c r="J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>
      <c r="A252" s="12" t="s">
        <v>36</v>
      </c>
      <c r="B252" s="10"/>
      <c r="C252" s="10"/>
      <c r="D252" s="10"/>
      <c r="E252" s="1"/>
      <c r="F252" s="1"/>
      <c r="G252" s="1"/>
      <c r="H252" s="1"/>
      <c r="I252" s="1"/>
      <c r="J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>
      <c r="A253" s="12" t="s">
        <v>37</v>
      </c>
      <c r="B253" s="10"/>
      <c r="C253" s="10"/>
      <c r="D253" s="10"/>
      <c r="E253" s="1"/>
      <c r="F253" s="1"/>
      <c r="G253" s="1"/>
      <c r="H253" s="1"/>
      <c r="I253" s="1"/>
      <c r="J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</sheetData>
  <autoFilter ref="A3:AX253"/>
  <phoneticPr fontId="2"/>
  <pageMargins left="0.2" right="0.2" top="0.2" bottom="0.22" header="0.2" footer="0.19"/>
  <pageSetup paperSize="9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9"/>
  <sheetViews>
    <sheetView zoomScaleNormal="100" workbookViewId="0">
      <pane ySplit="3" topLeftCell="A4" activePane="bottomLeft" state="frozen"/>
      <selection pane="bottomLeft" activeCell="C21" sqref="C21"/>
    </sheetView>
  </sheetViews>
  <sheetFormatPr defaultRowHeight="10.5" outlineLevelRow="1"/>
  <cols>
    <col min="1" max="1" width="9.875" style="32" customWidth="1"/>
    <col min="2" max="2" width="7.25" style="32" customWidth="1"/>
    <col min="3" max="3" width="23.875" style="32" bestFit="1" customWidth="1"/>
    <col min="4" max="4" width="4.375" style="32" customWidth="1"/>
    <col min="5" max="5" width="3" style="32" bestFit="1" customWidth="1"/>
    <col min="6" max="6" width="5.5" style="32" customWidth="1"/>
    <col min="7" max="27" width="4.375" style="32" customWidth="1"/>
    <col min="28" max="28" width="4.75" style="32" customWidth="1"/>
    <col min="29" max="29" width="3.625" style="32" customWidth="1"/>
    <col min="30" max="16384" width="9" style="32"/>
  </cols>
  <sheetData>
    <row r="1" spans="1:29">
      <c r="A1" s="45"/>
      <c r="B1" s="45"/>
      <c r="C1" s="45"/>
      <c r="D1" s="45"/>
      <c r="F1" s="45" t="s">
        <v>47</v>
      </c>
      <c r="G1" s="45">
        <v>15</v>
      </c>
      <c r="H1" s="45">
        <v>20</v>
      </c>
      <c r="I1" s="45">
        <v>25</v>
      </c>
      <c r="J1" s="45">
        <v>32</v>
      </c>
      <c r="K1" s="45">
        <v>40</v>
      </c>
      <c r="L1" s="32">
        <v>50</v>
      </c>
      <c r="M1" s="52">
        <v>65</v>
      </c>
      <c r="N1" s="40">
        <v>80</v>
      </c>
      <c r="O1" s="32">
        <v>100</v>
      </c>
      <c r="P1" s="32">
        <v>125</v>
      </c>
      <c r="Q1" s="32">
        <v>150</v>
      </c>
      <c r="R1" s="52">
        <v>200</v>
      </c>
      <c r="S1" s="32">
        <v>250</v>
      </c>
      <c r="T1" s="32">
        <v>300</v>
      </c>
      <c r="U1" s="32">
        <v>350</v>
      </c>
      <c r="V1" s="32">
        <v>400</v>
      </c>
      <c r="W1" s="32">
        <v>450</v>
      </c>
      <c r="X1" s="32">
        <v>500</v>
      </c>
      <c r="Y1" s="32">
        <v>550</v>
      </c>
      <c r="Z1" s="32">
        <v>600</v>
      </c>
      <c r="AA1" s="36" t="s">
        <v>317</v>
      </c>
      <c r="AB1" s="54" t="s">
        <v>331</v>
      </c>
    </row>
    <row r="2" spans="1:29">
      <c r="F2" s="32" t="s">
        <v>318</v>
      </c>
      <c r="G2" s="36">
        <v>0.5</v>
      </c>
      <c r="H2" s="36">
        <f>3/4</f>
        <v>0.75</v>
      </c>
      <c r="I2" s="36">
        <v>1</v>
      </c>
      <c r="J2" s="36">
        <v>1.25</v>
      </c>
      <c r="K2" s="36">
        <v>1.5</v>
      </c>
      <c r="L2" s="36">
        <v>2</v>
      </c>
      <c r="M2" s="36">
        <v>2.5</v>
      </c>
      <c r="N2" s="36">
        <v>3</v>
      </c>
      <c r="O2" s="36">
        <v>4</v>
      </c>
      <c r="P2" s="36">
        <v>5</v>
      </c>
      <c r="Q2" s="36">
        <v>6</v>
      </c>
      <c r="R2" s="36">
        <v>8</v>
      </c>
      <c r="S2" s="36">
        <v>10</v>
      </c>
      <c r="T2" s="36">
        <v>12</v>
      </c>
      <c r="U2" s="36">
        <v>14</v>
      </c>
      <c r="V2" s="36">
        <v>16</v>
      </c>
      <c r="W2" s="36">
        <v>18</v>
      </c>
      <c r="X2" s="36">
        <v>20</v>
      </c>
      <c r="Y2" s="36">
        <v>22</v>
      </c>
      <c r="Z2" s="36">
        <v>24</v>
      </c>
      <c r="AA2" s="36" t="s">
        <v>317</v>
      </c>
      <c r="AB2" s="54" t="s">
        <v>331</v>
      </c>
    </row>
    <row r="3" spans="1:29">
      <c r="H3" s="45"/>
      <c r="AB3" s="54" t="s">
        <v>331</v>
      </c>
    </row>
    <row r="4" spans="1:29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58" t="s">
        <v>331</v>
      </c>
      <c r="AC4" s="36"/>
    </row>
    <row r="5" spans="1:29" outlineLevel="1">
      <c r="A5" s="32" t="s">
        <v>311</v>
      </c>
      <c r="B5" s="32" t="s">
        <v>310</v>
      </c>
      <c r="C5" s="32" t="s">
        <v>316</v>
      </c>
      <c r="E5" s="32" t="s">
        <v>319</v>
      </c>
      <c r="F5" s="32">
        <v>100</v>
      </c>
      <c r="G5" s="32">
        <v>30</v>
      </c>
      <c r="H5" s="32">
        <v>30</v>
      </c>
      <c r="I5" s="32">
        <v>40</v>
      </c>
      <c r="J5" s="32" t="s">
        <v>97</v>
      </c>
      <c r="K5" s="32">
        <v>40</v>
      </c>
      <c r="L5" s="32">
        <v>50</v>
      </c>
      <c r="M5" s="32">
        <v>50</v>
      </c>
      <c r="N5" s="32">
        <v>50</v>
      </c>
      <c r="O5" s="32">
        <v>50</v>
      </c>
      <c r="P5" s="32">
        <v>50</v>
      </c>
      <c r="Q5" s="32">
        <v>65</v>
      </c>
      <c r="R5" s="32">
        <v>65</v>
      </c>
      <c r="S5" s="32">
        <v>65</v>
      </c>
      <c r="T5" s="32">
        <v>65</v>
      </c>
      <c r="U5" s="32" t="s">
        <v>97</v>
      </c>
      <c r="V5" s="32" t="s">
        <v>97</v>
      </c>
      <c r="W5" s="32" t="s">
        <v>97</v>
      </c>
      <c r="AA5" s="32">
        <v>75</v>
      </c>
      <c r="AB5" s="54" t="s">
        <v>331</v>
      </c>
    </row>
    <row r="6" spans="1:29" outlineLevel="1">
      <c r="A6" s="32" t="s">
        <v>311</v>
      </c>
      <c r="B6" s="32" t="s">
        <v>310</v>
      </c>
      <c r="C6" s="32" t="s">
        <v>316</v>
      </c>
      <c r="E6" s="32" t="s">
        <v>319</v>
      </c>
      <c r="F6" s="39">
        <v>150</v>
      </c>
      <c r="G6" s="39">
        <v>40</v>
      </c>
      <c r="H6" s="39">
        <v>40</v>
      </c>
      <c r="I6" s="39">
        <v>50</v>
      </c>
      <c r="J6" s="39" t="s">
        <v>97</v>
      </c>
      <c r="K6" s="39">
        <v>50</v>
      </c>
      <c r="L6" s="39">
        <v>65</v>
      </c>
      <c r="M6" s="39">
        <v>65</v>
      </c>
      <c r="N6" s="39">
        <v>65</v>
      </c>
      <c r="O6" s="39">
        <v>65</v>
      </c>
      <c r="P6" s="39">
        <v>65</v>
      </c>
      <c r="Q6" s="39">
        <v>75</v>
      </c>
      <c r="R6" s="39">
        <v>75</v>
      </c>
      <c r="S6" s="39">
        <v>75</v>
      </c>
      <c r="T6" s="39">
        <v>100</v>
      </c>
      <c r="U6" s="39" t="s">
        <v>97</v>
      </c>
      <c r="V6" s="39" t="s">
        <v>97</v>
      </c>
      <c r="W6" s="39" t="s">
        <v>97</v>
      </c>
      <c r="X6" s="39"/>
      <c r="Y6" s="39"/>
      <c r="Z6" s="39"/>
      <c r="AA6" s="39">
        <v>100</v>
      </c>
      <c r="AB6" s="55" t="s">
        <v>331</v>
      </c>
    </row>
    <row r="7" spans="1:29" outlineLevel="1">
      <c r="A7" s="32" t="s">
        <v>311</v>
      </c>
      <c r="B7" s="32" t="s">
        <v>310</v>
      </c>
      <c r="C7" s="32" t="s">
        <v>316</v>
      </c>
      <c r="E7" s="32" t="s">
        <v>319</v>
      </c>
      <c r="F7" s="39">
        <v>200</v>
      </c>
      <c r="G7" s="39">
        <v>50</v>
      </c>
      <c r="H7" s="39">
        <v>50</v>
      </c>
      <c r="I7" s="39">
        <v>65</v>
      </c>
      <c r="J7" s="39" t="s">
        <v>97</v>
      </c>
      <c r="K7" s="39">
        <v>65</v>
      </c>
      <c r="L7" s="39">
        <v>65</v>
      </c>
      <c r="M7" s="39">
        <v>75</v>
      </c>
      <c r="N7" s="39">
        <v>75</v>
      </c>
      <c r="O7" s="39">
        <v>75</v>
      </c>
      <c r="P7" s="39">
        <v>100</v>
      </c>
      <c r="Q7" s="39">
        <v>100</v>
      </c>
      <c r="R7" s="39">
        <v>100</v>
      </c>
      <c r="S7" s="39">
        <v>100</v>
      </c>
      <c r="T7" s="39">
        <v>100</v>
      </c>
      <c r="U7" s="39" t="s">
        <v>97</v>
      </c>
      <c r="V7" s="39" t="s">
        <v>97</v>
      </c>
      <c r="W7" s="39" t="s">
        <v>97</v>
      </c>
      <c r="X7" s="39"/>
      <c r="Y7" s="39"/>
      <c r="Z7" s="39"/>
      <c r="AA7" s="39">
        <v>125</v>
      </c>
      <c r="AB7" s="55" t="s">
        <v>331</v>
      </c>
    </row>
    <row r="8" spans="1:29" outlineLevel="1">
      <c r="A8" s="32" t="s">
        <v>311</v>
      </c>
      <c r="B8" s="32" t="s">
        <v>310</v>
      </c>
      <c r="C8" s="32" t="s">
        <v>316</v>
      </c>
      <c r="E8" s="32" t="s">
        <v>319</v>
      </c>
      <c r="F8" s="39">
        <v>250</v>
      </c>
      <c r="G8" s="39">
        <v>65</v>
      </c>
      <c r="H8" s="39">
        <v>65</v>
      </c>
      <c r="I8" s="39">
        <v>65</v>
      </c>
      <c r="J8" s="39" t="s">
        <v>97</v>
      </c>
      <c r="K8" s="39">
        <v>75</v>
      </c>
      <c r="L8" s="39">
        <v>75</v>
      </c>
      <c r="M8" s="39">
        <v>75</v>
      </c>
      <c r="N8" s="39">
        <v>100</v>
      </c>
      <c r="O8" s="39">
        <v>100</v>
      </c>
      <c r="P8" s="39">
        <v>100</v>
      </c>
      <c r="Q8" s="39">
        <v>100</v>
      </c>
      <c r="R8" s="39">
        <v>100</v>
      </c>
      <c r="S8" s="39">
        <v>100</v>
      </c>
      <c r="T8" s="39">
        <v>125</v>
      </c>
      <c r="U8" s="39" t="s">
        <v>97</v>
      </c>
      <c r="V8" s="39" t="s">
        <v>97</v>
      </c>
      <c r="W8" s="39" t="s">
        <v>97</v>
      </c>
      <c r="X8" s="39"/>
      <c r="Y8" s="39"/>
      <c r="Z8" s="39"/>
      <c r="AA8" s="39">
        <v>150</v>
      </c>
      <c r="AB8" s="55" t="s">
        <v>331</v>
      </c>
    </row>
    <row r="9" spans="1:29" outlineLevel="1">
      <c r="A9" s="32" t="s">
        <v>311</v>
      </c>
      <c r="B9" s="32" t="s">
        <v>310</v>
      </c>
      <c r="C9" s="32" t="s">
        <v>316</v>
      </c>
      <c r="E9" s="32" t="s">
        <v>319</v>
      </c>
      <c r="F9" s="39">
        <v>300</v>
      </c>
      <c r="G9" s="39">
        <v>65</v>
      </c>
      <c r="H9" s="39">
        <v>65</v>
      </c>
      <c r="I9" s="39">
        <v>75</v>
      </c>
      <c r="J9" s="39" t="s">
        <v>97</v>
      </c>
      <c r="K9" s="39">
        <v>75</v>
      </c>
      <c r="L9" s="39">
        <v>100</v>
      </c>
      <c r="M9" s="39">
        <v>100</v>
      </c>
      <c r="N9" s="39">
        <v>100</v>
      </c>
      <c r="O9" s="39">
        <v>100</v>
      </c>
      <c r="P9" s="39">
        <v>100</v>
      </c>
      <c r="Q9" s="39">
        <v>125</v>
      </c>
      <c r="R9" s="39">
        <v>125</v>
      </c>
      <c r="S9" s="39">
        <v>125</v>
      </c>
      <c r="T9" s="39">
        <v>125</v>
      </c>
      <c r="U9" s="39" t="s">
        <v>97</v>
      </c>
      <c r="V9" s="39" t="s">
        <v>97</v>
      </c>
      <c r="W9" s="39" t="s">
        <v>97</v>
      </c>
      <c r="X9" s="39"/>
      <c r="Y9" s="39"/>
      <c r="Z9" s="39"/>
      <c r="AA9" s="39">
        <v>175</v>
      </c>
      <c r="AB9" s="55" t="s">
        <v>331</v>
      </c>
    </row>
    <row r="10" spans="1:29" outlineLevel="1">
      <c r="A10" s="32" t="s">
        <v>311</v>
      </c>
      <c r="B10" s="32" t="s">
        <v>310</v>
      </c>
      <c r="C10" s="32" t="s">
        <v>316</v>
      </c>
      <c r="E10" s="32" t="s">
        <v>319</v>
      </c>
      <c r="F10" s="39">
        <v>350</v>
      </c>
      <c r="G10" s="41">
        <v>65</v>
      </c>
      <c r="H10" s="51">
        <v>75</v>
      </c>
      <c r="I10" s="41">
        <v>75</v>
      </c>
      <c r="J10" s="41" t="s">
        <v>97</v>
      </c>
      <c r="K10" s="41">
        <v>85</v>
      </c>
      <c r="L10" s="41">
        <v>100</v>
      </c>
      <c r="M10" s="41">
        <v>100</v>
      </c>
      <c r="N10" s="41">
        <v>100</v>
      </c>
      <c r="O10" s="41">
        <v>125</v>
      </c>
      <c r="P10" s="41">
        <v>125</v>
      </c>
      <c r="Q10" s="41">
        <v>125</v>
      </c>
      <c r="R10" s="41">
        <v>125</v>
      </c>
      <c r="S10" s="41">
        <v>125</v>
      </c>
      <c r="T10" s="41">
        <v>150</v>
      </c>
      <c r="U10" s="41" t="s">
        <v>97</v>
      </c>
      <c r="V10" s="39" t="s">
        <v>97</v>
      </c>
      <c r="W10" s="39" t="s">
        <v>97</v>
      </c>
      <c r="X10" s="39"/>
      <c r="Y10" s="39"/>
      <c r="Z10" s="39"/>
      <c r="AA10" s="39">
        <v>200</v>
      </c>
      <c r="AB10" s="55" t="s">
        <v>331</v>
      </c>
    </row>
    <row r="11" spans="1:29" outlineLevel="1">
      <c r="A11" s="32" t="s">
        <v>311</v>
      </c>
      <c r="B11" s="32" t="s">
        <v>310</v>
      </c>
      <c r="C11" s="32" t="s">
        <v>316</v>
      </c>
      <c r="E11" s="32" t="s">
        <v>319</v>
      </c>
      <c r="F11" s="39">
        <v>400</v>
      </c>
      <c r="G11" s="41">
        <v>75</v>
      </c>
      <c r="H11" s="51">
        <v>75</v>
      </c>
      <c r="I11" s="41">
        <v>85</v>
      </c>
      <c r="J11" s="41" t="s">
        <v>97</v>
      </c>
      <c r="K11" s="41">
        <v>100</v>
      </c>
      <c r="L11" s="41">
        <v>100</v>
      </c>
      <c r="M11" s="41">
        <v>100</v>
      </c>
      <c r="N11" s="41">
        <v>125</v>
      </c>
      <c r="O11" s="41">
        <v>125</v>
      </c>
      <c r="P11" s="41">
        <v>125</v>
      </c>
      <c r="Q11" s="41">
        <v>125</v>
      </c>
      <c r="R11" s="41">
        <v>150</v>
      </c>
      <c r="S11" s="41">
        <v>150</v>
      </c>
      <c r="T11" s="41">
        <v>150</v>
      </c>
      <c r="U11" s="41" t="s">
        <v>97</v>
      </c>
      <c r="V11" s="39" t="s">
        <v>97</v>
      </c>
      <c r="W11" s="39" t="s">
        <v>97</v>
      </c>
      <c r="X11" s="39"/>
      <c r="Y11" s="39"/>
      <c r="Z11" s="39"/>
      <c r="AA11" s="39">
        <v>200</v>
      </c>
      <c r="AB11" s="55" t="s">
        <v>331</v>
      </c>
    </row>
    <row r="12" spans="1:29" outlineLevel="1">
      <c r="A12" s="32" t="s">
        <v>311</v>
      </c>
      <c r="B12" s="32" t="s">
        <v>310</v>
      </c>
      <c r="C12" s="32" t="s">
        <v>316</v>
      </c>
      <c r="E12" s="32" t="s">
        <v>319</v>
      </c>
      <c r="F12" s="39">
        <v>450</v>
      </c>
      <c r="G12" s="41">
        <v>75</v>
      </c>
      <c r="H12" s="51">
        <v>85</v>
      </c>
      <c r="I12" s="41">
        <v>85</v>
      </c>
      <c r="J12" s="41" t="s">
        <v>97</v>
      </c>
      <c r="K12" s="41">
        <v>100</v>
      </c>
      <c r="L12" s="41">
        <v>100</v>
      </c>
      <c r="M12" s="41">
        <v>125</v>
      </c>
      <c r="N12" s="41">
        <v>125</v>
      </c>
      <c r="O12" s="41">
        <v>125</v>
      </c>
      <c r="P12" s="41">
        <v>125</v>
      </c>
      <c r="Q12" s="41">
        <v>150</v>
      </c>
      <c r="R12" s="41">
        <v>150</v>
      </c>
      <c r="S12" s="41">
        <v>150</v>
      </c>
      <c r="T12" s="41">
        <v>150</v>
      </c>
      <c r="U12" s="41" t="s">
        <v>97</v>
      </c>
      <c r="V12" s="39" t="s">
        <v>97</v>
      </c>
      <c r="W12" s="39" t="s">
        <v>97</v>
      </c>
      <c r="X12" s="39"/>
      <c r="Y12" s="39"/>
      <c r="Z12" s="39"/>
      <c r="AA12" s="39">
        <v>225</v>
      </c>
      <c r="AB12" s="55" t="s">
        <v>331</v>
      </c>
    </row>
    <row r="13" spans="1:29" outlineLevel="1">
      <c r="A13" s="32" t="s">
        <v>311</v>
      </c>
      <c r="B13" s="32" t="s">
        <v>310</v>
      </c>
      <c r="C13" s="32" t="s">
        <v>316</v>
      </c>
      <c r="E13" s="32" t="s">
        <v>319</v>
      </c>
      <c r="F13" s="39">
        <v>500</v>
      </c>
      <c r="G13" s="41">
        <v>85</v>
      </c>
      <c r="H13" s="51">
        <v>100</v>
      </c>
      <c r="I13" s="41">
        <v>100</v>
      </c>
      <c r="J13" s="41" t="s">
        <v>97</v>
      </c>
      <c r="K13" s="41">
        <v>125</v>
      </c>
      <c r="L13" s="41">
        <v>125</v>
      </c>
      <c r="M13" s="41">
        <v>125</v>
      </c>
      <c r="N13" s="41">
        <v>125</v>
      </c>
      <c r="O13" s="41">
        <v>150</v>
      </c>
      <c r="P13" s="41">
        <v>150</v>
      </c>
      <c r="Q13" s="41">
        <v>150</v>
      </c>
      <c r="R13" s="41">
        <v>150</v>
      </c>
      <c r="S13" s="41">
        <v>175</v>
      </c>
      <c r="T13" s="41">
        <v>175</v>
      </c>
      <c r="U13" s="41" t="s">
        <v>97</v>
      </c>
      <c r="V13" s="39" t="s">
        <v>97</v>
      </c>
      <c r="W13" s="39" t="s">
        <v>97</v>
      </c>
      <c r="X13" s="39"/>
      <c r="Y13" s="39"/>
      <c r="Z13" s="39"/>
      <c r="AA13" s="39">
        <v>235</v>
      </c>
      <c r="AB13" s="55" t="s">
        <v>331</v>
      </c>
    </row>
    <row r="14" spans="1:29" outlineLevel="1">
      <c r="A14" s="32" t="s">
        <v>311</v>
      </c>
      <c r="B14" s="32" t="s">
        <v>310</v>
      </c>
      <c r="C14" s="32" t="s">
        <v>316</v>
      </c>
      <c r="E14" s="32" t="s">
        <v>319</v>
      </c>
      <c r="F14" s="39">
        <v>550</v>
      </c>
      <c r="G14" s="41">
        <v>100</v>
      </c>
      <c r="H14" s="51">
        <v>100</v>
      </c>
      <c r="I14" s="41">
        <v>100</v>
      </c>
      <c r="J14" s="41" t="s">
        <v>97</v>
      </c>
      <c r="K14" s="41">
        <v>125</v>
      </c>
      <c r="L14" s="41">
        <v>125</v>
      </c>
      <c r="M14" s="41">
        <v>125</v>
      </c>
      <c r="N14" s="41">
        <v>150</v>
      </c>
      <c r="O14" s="41">
        <v>150</v>
      </c>
      <c r="P14" s="41">
        <v>150</v>
      </c>
      <c r="Q14" s="41">
        <v>150</v>
      </c>
      <c r="R14" s="41">
        <v>175</v>
      </c>
      <c r="S14" s="41">
        <v>175</v>
      </c>
      <c r="T14" s="41">
        <v>175</v>
      </c>
      <c r="U14" s="41" t="s">
        <v>97</v>
      </c>
      <c r="V14" s="39" t="s">
        <v>97</v>
      </c>
      <c r="W14" s="39" t="s">
        <v>97</v>
      </c>
      <c r="X14" s="39"/>
      <c r="Y14" s="39"/>
      <c r="Z14" s="39"/>
      <c r="AA14" s="39">
        <v>250</v>
      </c>
      <c r="AB14" s="55" t="s">
        <v>331</v>
      </c>
    </row>
    <row r="15" spans="1:29" outlineLevel="1">
      <c r="A15" s="32" t="s">
        <v>311</v>
      </c>
      <c r="B15" s="32" t="s">
        <v>310</v>
      </c>
      <c r="C15" s="32" t="s">
        <v>316</v>
      </c>
      <c r="E15" s="32" t="s">
        <v>319</v>
      </c>
      <c r="F15" s="39">
        <v>600</v>
      </c>
      <c r="G15" s="41">
        <v>100</v>
      </c>
      <c r="H15" s="51">
        <v>100</v>
      </c>
      <c r="I15" s="41">
        <v>100</v>
      </c>
      <c r="J15" s="41" t="s">
        <v>97</v>
      </c>
      <c r="K15" s="41">
        <v>125</v>
      </c>
      <c r="L15" s="41">
        <v>125</v>
      </c>
      <c r="M15" s="41">
        <v>150</v>
      </c>
      <c r="N15" s="41">
        <v>150</v>
      </c>
      <c r="O15" s="41">
        <v>150</v>
      </c>
      <c r="P15" s="41">
        <v>150</v>
      </c>
      <c r="Q15" s="41">
        <v>175</v>
      </c>
      <c r="R15" s="41">
        <v>175</v>
      </c>
      <c r="S15" s="41">
        <v>175</v>
      </c>
      <c r="T15" s="41">
        <v>200</v>
      </c>
      <c r="U15" s="41" t="s">
        <v>97</v>
      </c>
      <c r="V15" s="39" t="s">
        <v>97</v>
      </c>
      <c r="W15" s="39" t="s">
        <v>97</v>
      </c>
      <c r="X15" s="39"/>
      <c r="Y15" s="39"/>
      <c r="Z15" s="39"/>
      <c r="AA15" s="39">
        <v>270</v>
      </c>
      <c r="AB15" s="55" t="s">
        <v>331</v>
      </c>
    </row>
    <row r="16" spans="1:29" outlineLevel="1">
      <c r="A16" s="54" t="s">
        <v>245</v>
      </c>
      <c r="B16" s="54" t="s">
        <v>245</v>
      </c>
      <c r="C16" s="54" t="s">
        <v>245</v>
      </c>
      <c r="D16" s="54" t="s">
        <v>245</v>
      </c>
      <c r="E16" s="54" t="s">
        <v>245</v>
      </c>
      <c r="F16" s="55" t="s">
        <v>245</v>
      </c>
      <c r="G16" s="55" t="s">
        <v>245</v>
      </c>
      <c r="H16" s="56" t="s">
        <v>245</v>
      </c>
      <c r="I16" s="55" t="s">
        <v>245</v>
      </c>
      <c r="J16" s="55" t="s">
        <v>245</v>
      </c>
      <c r="K16" s="55" t="s">
        <v>245</v>
      </c>
      <c r="L16" s="55" t="s">
        <v>245</v>
      </c>
      <c r="M16" s="55" t="s">
        <v>245</v>
      </c>
      <c r="N16" s="55" t="s">
        <v>245</v>
      </c>
      <c r="O16" s="55" t="s">
        <v>245</v>
      </c>
      <c r="P16" s="55" t="s">
        <v>245</v>
      </c>
      <c r="Q16" s="55" t="s">
        <v>245</v>
      </c>
      <c r="R16" s="55" t="s">
        <v>245</v>
      </c>
      <c r="S16" s="55" t="s">
        <v>245</v>
      </c>
      <c r="T16" s="55" t="s">
        <v>245</v>
      </c>
      <c r="U16" s="55" t="s">
        <v>245</v>
      </c>
      <c r="V16" s="55" t="s">
        <v>245</v>
      </c>
      <c r="W16" s="55" t="s">
        <v>245</v>
      </c>
      <c r="X16" s="55" t="s">
        <v>245</v>
      </c>
      <c r="Y16" s="55" t="s">
        <v>245</v>
      </c>
      <c r="Z16" s="55" t="s">
        <v>245</v>
      </c>
      <c r="AA16" s="55" t="s">
        <v>245</v>
      </c>
      <c r="AB16" s="55" t="s">
        <v>331</v>
      </c>
    </row>
    <row r="17" spans="1:28" outlineLevel="1">
      <c r="A17" s="32" t="s">
        <v>311</v>
      </c>
      <c r="B17" s="32" t="s">
        <v>310</v>
      </c>
      <c r="C17" s="32" t="s">
        <v>315</v>
      </c>
      <c r="E17" s="32" t="s">
        <v>320</v>
      </c>
      <c r="F17" s="39">
        <v>100</v>
      </c>
      <c r="G17" s="39">
        <v>30</v>
      </c>
      <c r="H17" s="39">
        <v>30</v>
      </c>
      <c r="I17" s="39">
        <v>40</v>
      </c>
      <c r="J17" s="39" t="s">
        <v>97</v>
      </c>
      <c r="K17" s="39">
        <v>40</v>
      </c>
      <c r="L17" s="39">
        <v>40</v>
      </c>
      <c r="M17" s="39">
        <v>50</v>
      </c>
      <c r="N17" s="39">
        <v>50</v>
      </c>
      <c r="O17" s="39">
        <v>50</v>
      </c>
      <c r="P17" s="39">
        <v>50</v>
      </c>
      <c r="Q17" s="39">
        <v>50</v>
      </c>
      <c r="R17" s="39">
        <v>65</v>
      </c>
      <c r="S17" s="39">
        <v>65</v>
      </c>
      <c r="T17" s="39">
        <v>65</v>
      </c>
      <c r="U17" s="39" t="s">
        <v>97</v>
      </c>
      <c r="V17" s="39" t="s">
        <v>97</v>
      </c>
      <c r="W17" s="39" t="s">
        <v>97</v>
      </c>
      <c r="X17" s="39"/>
      <c r="Y17" s="39"/>
      <c r="Z17" s="39"/>
      <c r="AA17" s="39">
        <v>75</v>
      </c>
      <c r="AB17" s="55" t="s">
        <v>331</v>
      </c>
    </row>
    <row r="18" spans="1:28" outlineLevel="1">
      <c r="A18" s="32" t="s">
        <v>311</v>
      </c>
      <c r="B18" s="32" t="s">
        <v>310</v>
      </c>
      <c r="C18" s="32" t="s">
        <v>315</v>
      </c>
      <c r="E18" s="32" t="s">
        <v>320</v>
      </c>
      <c r="F18" s="39">
        <v>150</v>
      </c>
      <c r="G18" s="39">
        <v>40</v>
      </c>
      <c r="H18" s="39">
        <v>40</v>
      </c>
      <c r="I18" s="39">
        <v>50</v>
      </c>
      <c r="J18" s="39" t="s">
        <v>97</v>
      </c>
      <c r="K18" s="39">
        <v>50</v>
      </c>
      <c r="L18" s="39">
        <v>50</v>
      </c>
      <c r="M18" s="39">
        <v>65</v>
      </c>
      <c r="N18" s="39">
        <v>65</v>
      </c>
      <c r="O18" s="39">
        <v>65</v>
      </c>
      <c r="P18" s="39">
        <v>65</v>
      </c>
      <c r="Q18" s="39">
        <v>65</v>
      </c>
      <c r="R18" s="39">
        <v>75</v>
      </c>
      <c r="S18" s="39">
        <v>75</v>
      </c>
      <c r="T18" s="39">
        <v>75</v>
      </c>
      <c r="U18" s="39" t="s">
        <v>97</v>
      </c>
      <c r="V18" s="39" t="s">
        <v>97</v>
      </c>
      <c r="W18" s="39" t="s">
        <v>97</v>
      </c>
      <c r="X18" s="39"/>
      <c r="Y18" s="39"/>
      <c r="Z18" s="39"/>
      <c r="AA18" s="39">
        <v>100</v>
      </c>
      <c r="AB18" s="55" t="s">
        <v>331</v>
      </c>
    </row>
    <row r="19" spans="1:28" outlineLevel="1">
      <c r="A19" s="32" t="s">
        <v>311</v>
      </c>
      <c r="B19" s="32" t="s">
        <v>310</v>
      </c>
      <c r="C19" s="32" t="s">
        <v>315</v>
      </c>
      <c r="E19" s="32" t="s">
        <v>320</v>
      </c>
      <c r="F19" s="39">
        <v>200</v>
      </c>
      <c r="G19" s="39">
        <v>50</v>
      </c>
      <c r="H19" s="39">
        <v>50</v>
      </c>
      <c r="I19" s="39">
        <v>50</v>
      </c>
      <c r="J19" s="39" t="s">
        <v>97</v>
      </c>
      <c r="K19" s="39">
        <v>65</v>
      </c>
      <c r="L19" s="39">
        <v>65</v>
      </c>
      <c r="M19" s="39">
        <v>65</v>
      </c>
      <c r="N19" s="39">
        <v>65</v>
      </c>
      <c r="O19" s="39">
        <v>75</v>
      </c>
      <c r="P19" s="39">
        <v>75</v>
      </c>
      <c r="Q19" s="39">
        <v>100</v>
      </c>
      <c r="R19" s="39">
        <v>100</v>
      </c>
      <c r="S19" s="39">
        <v>100</v>
      </c>
      <c r="T19" s="39">
        <v>100</v>
      </c>
      <c r="U19" s="39" t="s">
        <v>97</v>
      </c>
      <c r="V19" s="39" t="s">
        <v>97</v>
      </c>
      <c r="W19" s="39" t="s">
        <v>97</v>
      </c>
      <c r="X19" s="39"/>
      <c r="Y19" s="39"/>
      <c r="Z19" s="39"/>
      <c r="AA19" s="39">
        <v>125</v>
      </c>
      <c r="AB19" s="55" t="s">
        <v>331</v>
      </c>
    </row>
    <row r="20" spans="1:28" outlineLevel="1">
      <c r="A20" s="32" t="s">
        <v>311</v>
      </c>
      <c r="B20" s="32" t="s">
        <v>310</v>
      </c>
      <c r="C20" s="32" t="s">
        <v>315</v>
      </c>
      <c r="E20" s="32" t="s">
        <v>320</v>
      </c>
      <c r="F20" s="39">
        <v>250</v>
      </c>
      <c r="G20" s="39">
        <v>50</v>
      </c>
      <c r="H20" s="39">
        <v>65</v>
      </c>
      <c r="I20" s="39">
        <v>65</v>
      </c>
      <c r="J20" s="39" t="s">
        <v>97</v>
      </c>
      <c r="K20" s="39">
        <v>65</v>
      </c>
      <c r="L20" s="39">
        <v>75</v>
      </c>
      <c r="M20" s="39">
        <v>75</v>
      </c>
      <c r="N20" s="39">
        <v>75</v>
      </c>
      <c r="O20" s="39">
        <v>100</v>
      </c>
      <c r="P20" s="39">
        <v>100</v>
      </c>
      <c r="Q20" s="39">
        <v>100</v>
      </c>
      <c r="R20" s="39">
        <v>100</v>
      </c>
      <c r="S20" s="39">
        <v>100</v>
      </c>
      <c r="T20" s="39">
        <v>100</v>
      </c>
      <c r="U20" s="39" t="s">
        <v>97</v>
      </c>
      <c r="V20" s="39" t="s">
        <v>97</v>
      </c>
      <c r="W20" s="39" t="s">
        <v>97</v>
      </c>
      <c r="X20" s="39"/>
      <c r="Y20" s="39"/>
      <c r="Z20" s="39"/>
      <c r="AA20" s="39">
        <v>150</v>
      </c>
      <c r="AB20" s="55" t="s">
        <v>331</v>
      </c>
    </row>
    <row r="21" spans="1:28" outlineLevel="1">
      <c r="A21" s="32" t="s">
        <v>311</v>
      </c>
      <c r="B21" s="32" t="s">
        <v>310</v>
      </c>
      <c r="C21" s="32" t="s">
        <v>315</v>
      </c>
      <c r="E21" s="32" t="s">
        <v>320</v>
      </c>
      <c r="F21" s="39">
        <v>300</v>
      </c>
      <c r="G21" s="39">
        <v>65</v>
      </c>
      <c r="H21" s="39">
        <v>65</v>
      </c>
      <c r="I21" s="39">
        <v>65</v>
      </c>
      <c r="J21" s="39" t="s">
        <v>97</v>
      </c>
      <c r="K21" s="39">
        <v>75</v>
      </c>
      <c r="L21" s="39">
        <v>75</v>
      </c>
      <c r="M21" s="39">
        <v>100</v>
      </c>
      <c r="N21" s="39">
        <v>100</v>
      </c>
      <c r="O21" s="39">
        <v>100</v>
      </c>
      <c r="P21" s="39">
        <v>100</v>
      </c>
      <c r="Q21" s="39">
        <v>100</v>
      </c>
      <c r="R21" s="39">
        <v>125</v>
      </c>
      <c r="S21" s="39">
        <v>125</v>
      </c>
      <c r="T21" s="39">
        <v>125</v>
      </c>
      <c r="U21" s="39" t="s">
        <v>97</v>
      </c>
      <c r="V21" s="39" t="s">
        <v>97</v>
      </c>
      <c r="W21" s="39" t="s">
        <v>97</v>
      </c>
      <c r="X21" s="39"/>
      <c r="Y21" s="39"/>
      <c r="Z21" s="39"/>
      <c r="AA21" s="39">
        <v>150</v>
      </c>
      <c r="AB21" s="55" t="s">
        <v>331</v>
      </c>
    </row>
    <row r="22" spans="1:28" outlineLevel="1">
      <c r="A22" s="32" t="s">
        <v>311</v>
      </c>
      <c r="B22" s="32" t="s">
        <v>310</v>
      </c>
      <c r="C22" s="32" t="s">
        <v>315</v>
      </c>
      <c r="E22" s="32" t="s">
        <v>320</v>
      </c>
      <c r="F22" s="39">
        <v>350</v>
      </c>
      <c r="G22" s="39">
        <v>65</v>
      </c>
      <c r="H22" s="46">
        <v>65</v>
      </c>
      <c r="I22" s="39">
        <v>75</v>
      </c>
      <c r="J22" s="39" t="s">
        <v>97</v>
      </c>
      <c r="K22" s="39">
        <v>100</v>
      </c>
      <c r="L22" s="39">
        <v>100</v>
      </c>
      <c r="M22" s="39">
        <v>100</v>
      </c>
      <c r="N22" s="39">
        <v>100</v>
      </c>
      <c r="O22" s="39">
        <v>100</v>
      </c>
      <c r="P22" s="39">
        <v>125</v>
      </c>
      <c r="Q22" s="39">
        <v>125</v>
      </c>
      <c r="R22" s="39">
        <v>125</v>
      </c>
      <c r="S22" s="39">
        <v>125</v>
      </c>
      <c r="T22" s="39">
        <v>125</v>
      </c>
      <c r="U22" s="39" t="s">
        <v>97</v>
      </c>
      <c r="V22" s="39" t="s">
        <v>97</v>
      </c>
      <c r="W22" s="39" t="s">
        <v>97</v>
      </c>
      <c r="X22" s="39"/>
      <c r="Y22" s="39"/>
      <c r="Z22" s="39"/>
      <c r="AA22" s="39">
        <v>200</v>
      </c>
      <c r="AB22" s="55" t="s">
        <v>331</v>
      </c>
    </row>
    <row r="23" spans="1:28" outlineLevel="1">
      <c r="A23" s="32" t="s">
        <v>311</v>
      </c>
      <c r="B23" s="32" t="s">
        <v>310</v>
      </c>
      <c r="C23" s="32" t="s">
        <v>315</v>
      </c>
      <c r="E23" s="32" t="s">
        <v>320</v>
      </c>
      <c r="F23" s="39">
        <v>400</v>
      </c>
      <c r="G23" s="39">
        <v>75</v>
      </c>
      <c r="H23" s="46">
        <v>75</v>
      </c>
      <c r="I23" s="39">
        <v>75</v>
      </c>
      <c r="J23" s="39" t="s">
        <v>97</v>
      </c>
      <c r="K23" s="39">
        <v>100</v>
      </c>
      <c r="L23" s="39">
        <v>100</v>
      </c>
      <c r="M23" s="39">
        <v>100</v>
      </c>
      <c r="N23" s="39">
        <v>100</v>
      </c>
      <c r="O23" s="39">
        <v>125</v>
      </c>
      <c r="P23" s="39">
        <v>125</v>
      </c>
      <c r="Q23" s="39">
        <v>125</v>
      </c>
      <c r="R23" s="39">
        <v>125</v>
      </c>
      <c r="S23" s="39">
        <v>150</v>
      </c>
      <c r="T23" s="39">
        <v>150</v>
      </c>
      <c r="U23" s="39" t="s">
        <v>97</v>
      </c>
      <c r="V23" s="39" t="s">
        <v>97</v>
      </c>
      <c r="W23" s="39" t="s">
        <v>97</v>
      </c>
      <c r="X23" s="39"/>
      <c r="Y23" s="39"/>
      <c r="Z23" s="39"/>
      <c r="AA23" s="39">
        <v>200</v>
      </c>
      <c r="AB23" s="55" t="s">
        <v>331</v>
      </c>
    </row>
    <row r="24" spans="1:28" outlineLevel="1">
      <c r="A24" s="32" t="s">
        <v>311</v>
      </c>
      <c r="B24" s="32" t="s">
        <v>310</v>
      </c>
      <c r="C24" s="32" t="s">
        <v>315</v>
      </c>
      <c r="E24" s="32" t="s">
        <v>320</v>
      </c>
      <c r="F24" s="39">
        <v>450</v>
      </c>
      <c r="G24" s="39">
        <v>75</v>
      </c>
      <c r="H24" s="46">
        <v>100</v>
      </c>
      <c r="I24" s="39">
        <v>100</v>
      </c>
      <c r="J24" s="39" t="s">
        <v>97</v>
      </c>
      <c r="K24" s="39">
        <v>100</v>
      </c>
      <c r="L24" s="39">
        <v>100</v>
      </c>
      <c r="M24" s="39">
        <v>125</v>
      </c>
      <c r="N24" s="39">
        <v>125</v>
      </c>
      <c r="O24" s="39">
        <v>125</v>
      </c>
      <c r="P24" s="39">
        <v>125</v>
      </c>
      <c r="Q24" s="39">
        <v>125</v>
      </c>
      <c r="R24" s="39">
        <v>150</v>
      </c>
      <c r="S24" s="39">
        <v>150</v>
      </c>
      <c r="T24" s="39">
        <v>150</v>
      </c>
      <c r="U24" s="39" t="s">
        <v>97</v>
      </c>
      <c r="V24" s="39" t="s">
        <v>97</v>
      </c>
      <c r="W24" s="39" t="s">
        <v>97</v>
      </c>
      <c r="X24" s="39"/>
      <c r="Y24" s="39"/>
      <c r="Z24" s="39"/>
      <c r="AA24" s="39">
        <v>225</v>
      </c>
      <c r="AB24" s="55" t="s">
        <v>331</v>
      </c>
    </row>
    <row r="25" spans="1:28" outlineLevel="1">
      <c r="A25" s="32" t="s">
        <v>311</v>
      </c>
      <c r="B25" s="32" t="s">
        <v>310</v>
      </c>
      <c r="C25" s="32" t="s">
        <v>315</v>
      </c>
      <c r="E25" s="32" t="s">
        <v>320</v>
      </c>
      <c r="F25" s="39">
        <v>500</v>
      </c>
      <c r="G25" s="39">
        <v>100</v>
      </c>
      <c r="H25" s="46">
        <v>100</v>
      </c>
      <c r="I25" s="39">
        <v>100</v>
      </c>
      <c r="J25" s="39" t="s">
        <v>97</v>
      </c>
      <c r="K25" s="39">
        <v>100</v>
      </c>
      <c r="L25" s="39">
        <v>125</v>
      </c>
      <c r="M25" s="39">
        <v>125</v>
      </c>
      <c r="N25" s="39">
        <v>125</v>
      </c>
      <c r="O25" s="39">
        <v>125</v>
      </c>
      <c r="P25" s="39">
        <v>150</v>
      </c>
      <c r="Q25" s="39">
        <v>150</v>
      </c>
      <c r="R25" s="39">
        <v>150</v>
      </c>
      <c r="S25" s="39">
        <v>150</v>
      </c>
      <c r="T25" s="39">
        <v>200</v>
      </c>
      <c r="U25" s="39" t="s">
        <v>97</v>
      </c>
      <c r="V25" s="39" t="s">
        <v>97</v>
      </c>
      <c r="W25" s="39" t="s">
        <v>97</v>
      </c>
      <c r="X25" s="39"/>
      <c r="Y25" s="39"/>
      <c r="Z25" s="39"/>
      <c r="AA25" s="39">
        <v>225</v>
      </c>
      <c r="AB25" s="55" t="s">
        <v>331</v>
      </c>
    </row>
    <row r="26" spans="1:28" outlineLevel="1">
      <c r="A26" s="32" t="s">
        <v>311</v>
      </c>
      <c r="B26" s="32" t="s">
        <v>310</v>
      </c>
      <c r="C26" s="32" t="s">
        <v>315</v>
      </c>
      <c r="E26" s="32" t="s">
        <v>320</v>
      </c>
      <c r="F26" s="39">
        <v>550</v>
      </c>
      <c r="G26" s="39">
        <v>100</v>
      </c>
      <c r="H26" s="46">
        <v>100</v>
      </c>
      <c r="I26" s="39">
        <v>100</v>
      </c>
      <c r="J26" s="39" t="s">
        <v>97</v>
      </c>
      <c r="K26" s="39">
        <v>125</v>
      </c>
      <c r="L26" s="39">
        <v>125</v>
      </c>
      <c r="M26" s="39">
        <v>125</v>
      </c>
      <c r="N26" s="39">
        <v>125</v>
      </c>
      <c r="O26" s="39">
        <v>150</v>
      </c>
      <c r="P26" s="39">
        <v>150</v>
      </c>
      <c r="Q26" s="39">
        <v>150</v>
      </c>
      <c r="R26" s="39">
        <v>150</v>
      </c>
      <c r="S26" s="39">
        <v>200</v>
      </c>
      <c r="T26" s="39">
        <v>200</v>
      </c>
      <c r="U26" s="39" t="s">
        <v>97</v>
      </c>
      <c r="V26" s="39" t="s">
        <v>97</v>
      </c>
      <c r="W26" s="39" t="s">
        <v>97</v>
      </c>
      <c r="X26" s="39"/>
      <c r="Y26" s="39"/>
      <c r="Z26" s="39"/>
      <c r="AA26" s="39">
        <v>275</v>
      </c>
      <c r="AB26" s="55" t="s">
        <v>331</v>
      </c>
    </row>
    <row r="27" spans="1:28" outlineLevel="1">
      <c r="A27" s="32" t="s">
        <v>311</v>
      </c>
      <c r="B27" s="32" t="s">
        <v>310</v>
      </c>
      <c r="C27" s="32" t="s">
        <v>315</v>
      </c>
      <c r="E27" s="32" t="s">
        <v>320</v>
      </c>
      <c r="F27" s="39">
        <v>600</v>
      </c>
      <c r="G27" s="39">
        <v>100</v>
      </c>
      <c r="H27" s="46">
        <v>100</v>
      </c>
      <c r="I27" s="39">
        <v>100</v>
      </c>
      <c r="J27" s="39" t="s">
        <v>97</v>
      </c>
      <c r="K27" s="39">
        <v>125</v>
      </c>
      <c r="L27" s="39">
        <v>125</v>
      </c>
      <c r="M27" s="39">
        <v>125</v>
      </c>
      <c r="N27" s="39">
        <v>150</v>
      </c>
      <c r="O27" s="39">
        <v>150</v>
      </c>
      <c r="P27" s="39">
        <v>150</v>
      </c>
      <c r="Q27" s="39">
        <v>150</v>
      </c>
      <c r="R27" s="39">
        <v>200</v>
      </c>
      <c r="S27" s="39">
        <v>200</v>
      </c>
      <c r="T27" s="39">
        <v>200</v>
      </c>
      <c r="U27" s="39" t="s">
        <v>97</v>
      </c>
      <c r="V27" s="39" t="s">
        <v>97</v>
      </c>
      <c r="W27" s="39" t="s">
        <v>97</v>
      </c>
      <c r="X27" s="39"/>
      <c r="Y27" s="39"/>
      <c r="Z27" s="39"/>
      <c r="AA27" s="39">
        <v>275</v>
      </c>
      <c r="AB27" s="55" t="s">
        <v>331</v>
      </c>
    </row>
    <row r="28" spans="1:28" outlineLevel="1">
      <c r="A28" s="32" t="s">
        <v>311</v>
      </c>
      <c r="B28" s="32" t="s">
        <v>310</v>
      </c>
      <c r="C28" s="32" t="s">
        <v>315</v>
      </c>
      <c r="E28" s="32" t="s">
        <v>320</v>
      </c>
      <c r="F28" s="39">
        <v>650</v>
      </c>
      <c r="G28" s="39">
        <v>100</v>
      </c>
      <c r="H28" s="46">
        <v>100</v>
      </c>
      <c r="I28" s="39">
        <v>125</v>
      </c>
      <c r="J28" s="39" t="s">
        <v>97</v>
      </c>
      <c r="K28" s="39">
        <v>125</v>
      </c>
      <c r="L28" s="39">
        <v>125</v>
      </c>
      <c r="M28" s="39">
        <v>150</v>
      </c>
      <c r="N28" s="39">
        <v>150</v>
      </c>
      <c r="O28" s="39">
        <v>150</v>
      </c>
      <c r="P28" s="39">
        <v>200</v>
      </c>
      <c r="Q28" s="39">
        <v>200</v>
      </c>
      <c r="R28" s="39">
        <v>200</v>
      </c>
      <c r="S28" s="39">
        <v>200</v>
      </c>
      <c r="T28" s="39">
        <v>200</v>
      </c>
      <c r="U28" s="39" t="s">
        <v>97</v>
      </c>
      <c r="V28" s="39" t="s">
        <v>97</v>
      </c>
      <c r="W28" s="39" t="s">
        <v>97</v>
      </c>
      <c r="X28" s="39"/>
      <c r="Y28" s="39"/>
      <c r="Z28" s="39"/>
      <c r="AA28" s="39">
        <v>275</v>
      </c>
      <c r="AB28" s="55" t="s">
        <v>331</v>
      </c>
    </row>
    <row r="29" spans="1:28" outlineLevel="1">
      <c r="A29" s="32" t="s">
        <v>311</v>
      </c>
      <c r="B29" s="32" t="s">
        <v>310</v>
      </c>
      <c r="C29" s="32" t="s">
        <v>315</v>
      </c>
      <c r="E29" s="32" t="s">
        <v>320</v>
      </c>
      <c r="F29" s="39">
        <v>700</v>
      </c>
      <c r="G29" s="39">
        <v>100</v>
      </c>
      <c r="H29" s="46">
        <v>125</v>
      </c>
      <c r="I29" s="39">
        <v>125</v>
      </c>
      <c r="J29" s="39" t="s">
        <v>97</v>
      </c>
      <c r="K29" s="39">
        <v>125</v>
      </c>
      <c r="L29" s="39">
        <v>150</v>
      </c>
      <c r="M29" s="39">
        <v>150</v>
      </c>
      <c r="N29" s="39">
        <v>150</v>
      </c>
      <c r="O29" s="39">
        <v>200</v>
      </c>
      <c r="P29" s="39">
        <v>200</v>
      </c>
      <c r="Q29" s="39">
        <v>200</v>
      </c>
      <c r="R29" s="39">
        <v>200</v>
      </c>
      <c r="S29" s="39">
        <v>200</v>
      </c>
      <c r="T29" s="39">
        <v>200</v>
      </c>
      <c r="U29" s="39" t="s">
        <v>97</v>
      </c>
      <c r="V29" s="39" t="s">
        <v>97</v>
      </c>
      <c r="W29" s="39" t="s">
        <v>97</v>
      </c>
      <c r="X29" s="39"/>
      <c r="Y29" s="39"/>
      <c r="Z29" s="39"/>
      <c r="AA29" s="39">
        <v>335</v>
      </c>
      <c r="AB29" s="55" t="s">
        <v>331</v>
      </c>
    </row>
    <row r="30" spans="1:28" outlineLevel="1">
      <c r="A30" s="32" t="s">
        <v>311</v>
      </c>
      <c r="B30" s="32" t="s">
        <v>310</v>
      </c>
      <c r="C30" s="32" t="s">
        <v>315</v>
      </c>
      <c r="E30" s="32" t="s">
        <v>320</v>
      </c>
      <c r="F30" s="39">
        <v>750</v>
      </c>
      <c r="G30" s="39">
        <v>125</v>
      </c>
      <c r="H30" s="46">
        <v>125</v>
      </c>
      <c r="I30" s="39">
        <v>125</v>
      </c>
      <c r="J30" s="39" t="s">
        <v>97</v>
      </c>
      <c r="K30" s="39">
        <v>150</v>
      </c>
      <c r="L30" s="39">
        <v>150</v>
      </c>
      <c r="M30" s="39">
        <v>150</v>
      </c>
      <c r="N30" s="39">
        <v>200</v>
      </c>
      <c r="O30" s="39">
        <v>200</v>
      </c>
      <c r="P30" s="39">
        <v>200</v>
      </c>
      <c r="Q30" s="39">
        <v>200</v>
      </c>
      <c r="R30" s="39">
        <v>200</v>
      </c>
      <c r="S30" s="39">
        <v>200</v>
      </c>
      <c r="T30" s="39">
        <v>225</v>
      </c>
      <c r="U30" s="39" t="s">
        <v>97</v>
      </c>
      <c r="V30" s="39" t="s">
        <v>97</v>
      </c>
      <c r="W30" s="39" t="s">
        <v>97</v>
      </c>
      <c r="X30" s="39"/>
      <c r="Y30" s="39"/>
      <c r="Z30" s="39"/>
      <c r="AA30" s="39">
        <v>335</v>
      </c>
      <c r="AB30" s="55" t="s">
        <v>331</v>
      </c>
    </row>
    <row r="31" spans="1:28" outlineLevel="1">
      <c r="A31" s="32" t="s">
        <v>311</v>
      </c>
      <c r="B31" s="32" t="s">
        <v>310</v>
      </c>
      <c r="C31" s="32" t="s">
        <v>315</v>
      </c>
      <c r="E31" s="32" t="s">
        <v>320</v>
      </c>
      <c r="F31" s="39">
        <v>800</v>
      </c>
      <c r="G31" s="39">
        <v>125</v>
      </c>
      <c r="H31" s="46">
        <v>125</v>
      </c>
      <c r="I31" s="39">
        <v>125</v>
      </c>
      <c r="J31" s="39" t="s">
        <v>97</v>
      </c>
      <c r="K31" s="39">
        <v>150</v>
      </c>
      <c r="L31" s="39">
        <v>150</v>
      </c>
      <c r="M31" s="39">
        <v>200</v>
      </c>
      <c r="N31" s="39">
        <v>200</v>
      </c>
      <c r="O31" s="39">
        <v>200</v>
      </c>
      <c r="P31" s="39">
        <v>200</v>
      </c>
      <c r="Q31" s="39">
        <v>200</v>
      </c>
      <c r="R31" s="39">
        <v>200</v>
      </c>
      <c r="S31" s="39">
        <v>225</v>
      </c>
      <c r="T31" s="39">
        <v>225</v>
      </c>
      <c r="U31" s="39" t="s">
        <v>97</v>
      </c>
      <c r="V31" s="39" t="s">
        <v>97</v>
      </c>
      <c r="W31" s="39" t="s">
        <v>97</v>
      </c>
      <c r="X31" s="39"/>
      <c r="Y31" s="39"/>
      <c r="Z31" s="39"/>
      <c r="AA31" s="39">
        <v>335</v>
      </c>
      <c r="AB31" s="55" t="s">
        <v>331</v>
      </c>
    </row>
    <row r="32" spans="1:28" outlineLevel="1">
      <c r="A32" s="54" t="s">
        <v>245</v>
      </c>
      <c r="B32" s="54" t="s">
        <v>245</v>
      </c>
      <c r="C32" s="54" t="s">
        <v>245</v>
      </c>
      <c r="D32" s="54" t="s">
        <v>245</v>
      </c>
      <c r="E32" s="54" t="s">
        <v>245</v>
      </c>
      <c r="F32" s="55" t="s">
        <v>245</v>
      </c>
      <c r="G32" s="55" t="s">
        <v>245</v>
      </c>
      <c r="H32" s="56" t="s">
        <v>245</v>
      </c>
      <c r="I32" s="55" t="s">
        <v>245</v>
      </c>
      <c r="J32" s="55" t="s">
        <v>245</v>
      </c>
      <c r="K32" s="55" t="s">
        <v>245</v>
      </c>
      <c r="L32" s="55" t="s">
        <v>245</v>
      </c>
      <c r="M32" s="55" t="s">
        <v>245</v>
      </c>
      <c r="N32" s="55" t="s">
        <v>245</v>
      </c>
      <c r="O32" s="55" t="s">
        <v>245</v>
      </c>
      <c r="P32" s="55" t="s">
        <v>245</v>
      </c>
      <c r="Q32" s="55" t="s">
        <v>245</v>
      </c>
      <c r="R32" s="55" t="s">
        <v>245</v>
      </c>
      <c r="S32" s="55" t="s">
        <v>245</v>
      </c>
      <c r="T32" s="55" t="s">
        <v>245</v>
      </c>
      <c r="U32" s="55" t="s">
        <v>245</v>
      </c>
      <c r="V32" s="55" t="s">
        <v>245</v>
      </c>
      <c r="W32" s="55" t="s">
        <v>245</v>
      </c>
      <c r="X32" s="55" t="s">
        <v>245</v>
      </c>
      <c r="Y32" s="55" t="s">
        <v>245</v>
      </c>
      <c r="Z32" s="55" t="s">
        <v>245</v>
      </c>
      <c r="AA32" s="55" t="s">
        <v>245</v>
      </c>
      <c r="AB32" s="55" t="s">
        <v>331</v>
      </c>
    </row>
    <row r="33" spans="1:28" outlineLevel="1">
      <c r="A33" s="32" t="s">
        <v>311</v>
      </c>
      <c r="B33" s="32" t="s">
        <v>310</v>
      </c>
      <c r="C33" s="32" t="s">
        <v>314</v>
      </c>
      <c r="E33" s="32" t="s">
        <v>321</v>
      </c>
      <c r="F33" s="39">
        <v>100</v>
      </c>
      <c r="G33" s="39">
        <v>30</v>
      </c>
      <c r="H33" s="39">
        <v>40</v>
      </c>
      <c r="I33" s="39">
        <v>40</v>
      </c>
      <c r="J33" s="39" t="s">
        <v>97</v>
      </c>
      <c r="K33" s="39">
        <v>40</v>
      </c>
      <c r="L33" s="39">
        <v>50</v>
      </c>
      <c r="M33" s="39">
        <v>50</v>
      </c>
      <c r="N33" s="39">
        <v>50</v>
      </c>
      <c r="O33" s="39">
        <v>75</v>
      </c>
      <c r="P33" s="39">
        <v>75</v>
      </c>
      <c r="Q33" s="39">
        <v>75</v>
      </c>
      <c r="R33" s="39">
        <v>75</v>
      </c>
      <c r="S33" s="39">
        <v>75</v>
      </c>
      <c r="T33" s="39">
        <v>75</v>
      </c>
      <c r="U33" s="39" t="s">
        <v>97</v>
      </c>
      <c r="V33" s="39" t="s">
        <v>97</v>
      </c>
      <c r="W33" s="39" t="s">
        <v>97</v>
      </c>
      <c r="X33" s="39"/>
      <c r="Y33" s="39"/>
      <c r="Z33" s="39"/>
      <c r="AA33" s="39">
        <v>100</v>
      </c>
      <c r="AB33" s="55" t="s">
        <v>331</v>
      </c>
    </row>
    <row r="34" spans="1:28" outlineLevel="1">
      <c r="A34" s="32" t="s">
        <v>311</v>
      </c>
      <c r="B34" s="32" t="s">
        <v>310</v>
      </c>
      <c r="C34" s="32" t="s">
        <v>314</v>
      </c>
      <c r="E34" s="32" t="s">
        <v>321</v>
      </c>
      <c r="F34" s="39">
        <v>150</v>
      </c>
      <c r="G34" s="39">
        <v>40</v>
      </c>
      <c r="H34" s="39">
        <v>50</v>
      </c>
      <c r="I34" s="39">
        <v>50</v>
      </c>
      <c r="J34" s="39" t="s">
        <v>97</v>
      </c>
      <c r="K34" s="39">
        <v>75</v>
      </c>
      <c r="L34" s="39">
        <v>75</v>
      </c>
      <c r="M34" s="39">
        <v>75</v>
      </c>
      <c r="N34" s="39">
        <v>75</v>
      </c>
      <c r="O34" s="39">
        <v>75</v>
      </c>
      <c r="P34" s="39">
        <v>75</v>
      </c>
      <c r="Q34" s="39">
        <v>75</v>
      </c>
      <c r="R34" s="39">
        <v>100</v>
      </c>
      <c r="S34" s="39">
        <v>100</v>
      </c>
      <c r="T34" s="39">
        <v>100</v>
      </c>
      <c r="U34" s="39" t="s">
        <v>97</v>
      </c>
      <c r="V34" s="39" t="s">
        <v>97</v>
      </c>
      <c r="W34" s="39" t="s">
        <v>97</v>
      </c>
      <c r="X34" s="39"/>
      <c r="Y34" s="39"/>
      <c r="Z34" s="39"/>
      <c r="AA34" s="39">
        <v>125</v>
      </c>
      <c r="AB34" s="55" t="s">
        <v>331</v>
      </c>
    </row>
    <row r="35" spans="1:28" outlineLevel="1">
      <c r="A35" s="32" t="s">
        <v>311</v>
      </c>
      <c r="B35" s="32" t="s">
        <v>310</v>
      </c>
      <c r="C35" s="32" t="s">
        <v>314</v>
      </c>
      <c r="E35" s="32" t="s">
        <v>321</v>
      </c>
      <c r="F35" s="39">
        <v>200</v>
      </c>
      <c r="G35" s="39">
        <v>50</v>
      </c>
      <c r="H35" s="39">
        <v>50</v>
      </c>
      <c r="I35" s="39">
        <v>55</v>
      </c>
      <c r="J35" s="39" t="s">
        <v>97</v>
      </c>
      <c r="K35" s="39">
        <v>75</v>
      </c>
      <c r="L35" s="39">
        <v>75</v>
      </c>
      <c r="M35" s="39">
        <v>75</v>
      </c>
      <c r="N35" s="39">
        <v>75</v>
      </c>
      <c r="O35" s="39">
        <v>100</v>
      </c>
      <c r="P35" s="39">
        <v>100</v>
      </c>
      <c r="Q35" s="39">
        <v>100</v>
      </c>
      <c r="R35" s="39">
        <v>100</v>
      </c>
      <c r="S35" s="39">
        <v>100</v>
      </c>
      <c r="T35" s="39">
        <v>100</v>
      </c>
      <c r="U35" s="39" t="s">
        <v>97</v>
      </c>
      <c r="V35" s="39" t="s">
        <v>97</v>
      </c>
      <c r="W35" s="39" t="s">
        <v>97</v>
      </c>
      <c r="X35" s="39"/>
      <c r="Y35" s="39"/>
      <c r="Z35" s="39"/>
      <c r="AA35" s="39">
        <v>150</v>
      </c>
      <c r="AB35" s="55" t="s">
        <v>331</v>
      </c>
    </row>
    <row r="36" spans="1:28" outlineLevel="1">
      <c r="A36" s="32" t="s">
        <v>311</v>
      </c>
      <c r="B36" s="32" t="s">
        <v>310</v>
      </c>
      <c r="C36" s="32" t="s">
        <v>314</v>
      </c>
      <c r="E36" s="32" t="s">
        <v>321</v>
      </c>
      <c r="F36" s="39">
        <v>250</v>
      </c>
      <c r="G36" s="39">
        <v>65</v>
      </c>
      <c r="H36" s="39">
        <v>65</v>
      </c>
      <c r="I36" s="39">
        <v>65</v>
      </c>
      <c r="J36" s="39" t="s">
        <v>97</v>
      </c>
      <c r="K36" s="39">
        <v>75</v>
      </c>
      <c r="L36" s="39">
        <v>100</v>
      </c>
      <c r="M36" s="39">
        <v>100</v>
      </c>
      <c r="N36" s="39">
        <v>100</v>
      </c>
      <c r="O36" s="39">
        <v>100</v>
      </c>
      <c r="P36" s="39">
        <v>100</v>
      </c>
      <c r="Q36" s="39">
        <v>100</v>
      </c>
      <c r="R36" s="39">
        <v>125</v>
      </c>
      <c r="S36" s="39">
        <v>125</v>
      </c>
      <c r="T36" s="39">
        <v>125</v>
      </c>
      <c r="U36" s="39" t="s">
        <v>97</v>
      </c>
      <c r="V36" s="39" t="s">
        <v>97</v>
      </c>
      <c r="W36" s="39" t="s">
        <v>97</v>
      </c>
      <c r="X36" s="39"/>
      <c r="Y36" s="39"/>
      <c r="Z36" s="39"/>
      <c r="AA36" s="39">
        <v>200</v>
      </c>
      <c r="AB36" s="55" t="s">
        <v>331</v>
      </c>
    </row>
    <row r="37" spans="1:28" outlineLevel="1">
      <c r="A37" s="32" t="s">
        <v>311</v>
      </c>
      <c r="B37" s="32" t="s">
        <v>310</v>
      </c>
      <c r="C37" s="32" t="s">
        <v>314</v>
      </c>
      <c r="E37" s="32" t="s">
        <v>321</v>
      </c>
      <c r="F37" s="39">
        <v>300</v>
      </c>
      <c r="G37" s="39">
        <v>65</v>
      </c>
      <c r="H37" s="39">
        <v>75</v>
      </c>
      <c r="I37" s="39">
        <v>75</v>
      </c>
      <c r="J37" s="39" t="s">
        <v>97</v>
      </c>
      <c r="K37" s="39">
        <v>100</v>
      </c>
      <c r="L37" s="39">
        <v>100</v>
      </c>
      <c r="M37" s="39">
        <v>100</v>
      </c>
      <c r="N37" s="39">
        <v>100</v>
      </c>
      <c r="O37" s="39">
        <v>125</v>
      </c>
      <c r="P37" s="39">
        <v>125</v>
      </c>
      <c r="Q37" s="39">
        <v>125</v>
      </c>
      <c r="R37" s="39">
        <v>125</v>
      </c>
      <c r="S37" s="39">
        <v>125</v>
      </c>
      <c r="T37" s="39">
        <v>150</v>
      </c>
      <c r="U37" s="39" t="s">
        <v>97</v>
      </c>
      <c r="V37" s="39" t="s">
        <v>97</v>
      </c>
      <c r="W37" s="39" t="s">
        <v>97</v>
      </c>
      <c r="X37" s="39"/>
      <c r="Y37" s="39"/>
      <c r="Z37" s="39"/>
      <c r="AA37" s="39">
        <v>200</v>
      </c>
      <c r="AB37" s="55" t="s">
        <v>331</v>
      </c>
    </row>
    <row r="38" spans="1:28" outlineLevel="1">
      <c r="A38" s="32" t="s">
        <v>311</v>
      </c>
      <c r="B38" s="32" t="s">
        <v>310</v>
      </c>
      <c r="C38" s="32" t="s">
        <v>314</v>
      </c>
      <c r="E38" s="32" t="s">
        <v>321</v>
      </c>
      <c r="F38" s="39">
        <v>350</v>
      </c>
      <c r="G38" s="41">
        <v>75</v>
      </c>
      <c r="H38" s="51">
        <v>75</v>
      </c>
      <c r="I38" s="41">
        <v>100</v>
      </c>
      <c r="J38" s="41" t="s">
        <v>97</v>
      </c>
      <c r="K38" s="41">
        <v>100</v>
      </c>
      <c r="L38" s="41">
        <v>100</v>
      </c>
      <c r="M38" s="41">
        <v>125</v>
      </c>
      <c r="N38" s="41">
        <v>125</v>
      </c>
      <c r="O38" s="41">
        <v>125</v>
      </c>
      <c r="P38" s="41">
        <v>125</v>
      </c>
      <c r="Q38" s="41">
        <v>125</v>
      </c>
      <c r="R38" s="41">
        <v>125</v>
      </c>
      <c r="S38" s="41">
        <v>150</v>
      </c>
      <c r="T38" s="41">
        <v>150</v>
      </c>
      <c r="U38" s="41" t="s">
        <v>97</v>
      </c>
      <c r="V38" s="39" t="s">
        <v>97</v>
      </c>
      <c r="W38" s="39" t="s">
        <v>97</v>
      </c>
      <c r="X38" s="39"/>
      <c r="Y38" s="39"/>
      <c r="Z38" s="39"/>
      <c r="AA38" s="39">
        <v>245</v>
      </c>
      <c r="AB38" s="55" t="s">
        <v>331</v>
      </c>
    </row>
    <row r="39" spans="1:28" outlineLevel="1">
      <c r="A39" s="32" t="s">
        <v>311</v>
      </c>
      <c r="B39" s="32" t="s">
        <v>310</v>
      </c>
      <c r="C39" s="32" t="s">
        <v>314</v>
      </c>
      <c r="E39" s="32" t="s">
        <v>321</v>
      </c>
      <c r="F39" s="39">
        <v>400</v>
      </c>
      <c r="G39" s="41">
        <v>100</v>
      </c>
      <c r="H39" s="51">
        <v>100</v>
      </c>
      <c r="I39" s="41">
        <v>100</v>
      </c>
      <c r="J39" s="41" t="s">
        <v>97</v>
      </c>
      <c r="K39" s="41">
        <v>100</v>
      </c>
      <c r="L39" s="41">
        <v>125</v>
      </c>
      <c r="M39" s="41">
        <v>125</v>
      </c>
      <c r="N39" s="41">
        <v>125</v>
      </c>
      <c r="O39" s="41">
        <v>150</v>
      </c>
      <c r="P39" s="41">
        <v>150</v>
      </c>
      <c r="Q39" s="41">
        <v>150</v>
      </c>
      <c r="R39" s="41">
        <v>150</v>
      </c>
      <c r="S39" s="41">
        <v>200</v>
      </c>
      <c r="T39" s="41">
        <v>200</v>
      </c>
      <c r="U39" s="41" t="s">
        <v>97</v>
      </c>
      <c r="V39" s="39" t="s">
        <v>97</v>
      </c>
      <c r="W39" s="39" t="s">
        <v>97</v>
      </c>
      <c r="X39" s="39"/>
      <c r="Y39" s="39"/>
      <c r="Z39" s="39"/>
      <c r="AA39" s="39">
        <v>245</v>
      </c>
      <c r="AB39" s="55" t="s">
        <v>331</v>
      </c>
    </row>
    <row r="40" spans="1:28" outlineLevel="1">
      <c r="A40" s="32" t="s">
        <v>311</v>
      </c>
      <c r="B40" s="32" t="s">
        <v>310</v>
      </c>
      <c r="C40" s="32" t="s">
        <v>314</v>
      </c>
      <c r="E40" s="32" t="s">
        <v>321</v>
      </c>
      <c r="F40" s="39">
        <v>450</v>
      </c>
      <c r="G40" s="41">
        <v>100</v>
      </c>
      <c r="H40" s="51">
        <v>100</v>
      </c>
      <c r="I40" s="41">
        <v>100</v>
      </c>
      <c r="J40" s="41" t="s">
        <v>97</v>
      </c>
      <c r="K40" s="41">
        <v>125</v>
      </c>
      <c r="L40" s="41">
        <v>125</v>
      </c>
      <c r="M40" s="41">
        <v>125</v>
      </c>
      <c r="N40" s="41">
        <v>150</v>
      </c>
      <c r="O40" s="41">
        <v>150</v>
      </c>
      <c r="P40" s="41">
        <v>150</v>
      </c>
      <c r="Q40" s="41">
        <v>200</v>
      </c>
      <c r="R40" s="41">
        <v>200</v>
      </c>
      <c r="S40" s="41">
        <v>200</v>
      </c>
      <c r="T40" s="41">
        <v>200</v>
      </c>
      <c r="U40" s="41" t="s">
        <v>97</v>
      </c>
      <c r="V40" s="39" t="s">
        <v>97</v>
      </c>
      <c r="W40" s="39" t="s">
        <v>97</v>
      </c>
      <c r="X40" s="39"/>
      <c r="Y40" s="39"/>
      <c r="Z40" s="39"/>
      <c r="AA40" s="39">
        <v>305</v>
      </c>
      <c r="AB40" s="55" t="s">
        <v>331</v>
      </c>
    </row>
    <row r="41" spans="1:28" outlineLevel="1">
      <c r="A41" s="32" t="s">
        <v>311</v>
      </c>
      <c r="B41" s="32" t="s">
        <v>310</v>
      </c>
      <c r="C41" s="32" t="s">
        <v>314</v>
      </c>
      <c r="E41" s="32" t="s">
        <v>321</v>
      </c>
      <c r="F41" s="39">
        <v>500</v>
      </c>
      <c r="G41" s="41">
        <v>100</v>
      </c>
      <c r="H41" s="51">
        <v>125</v>
      </c>
      <c r="I41" s="41">
        <v>125</v>
      </c>
      <c r="J41" s="41" t="s">
        <v>97</v>
      </c>
      <c r="K41" s="41">
        <v>125</v>
      </c>
      <c r="L41" s="41">
        <v>150</v>
      </c>
      <c r="M41" s="41">
        <v>150</v>
      </c>
      <c r="N41" s="41">
        <v>150</v>
      </c>
      <c r="O41" s="41">
        <v>150</v>
      </c>
      <c r="P41" s="41">
        <v>200</v>
      </c>
      <c r="Q41" s="41">
        <v>200</v>
      </c>
      <c r="R41" s="41">
        <v>200</v>
      </c>
      <c r="S41" s="41">
        <v>200</v>
      </c>
      <c r="T41" s="41">
        <v>200</v>
      </c>
      <c r="U41" s="41" t="s">
        <v>97</v>
      </c>
      <c r="V41" s="39" t="s">
        <v>97</v>
      </c>
      <c r="W41" s="39" t="s">
        <v>97</v>
      </c>
      <c r="X41" s="39"/>
      <c r="Y41" s="39"/>
      <c r="Z41" s="39"/>
      <c r="AA41" s="39">
        <v>305</v>
      </c>
      <c r="AB41" s="55" t="s">
        <v>331</v>
      </c>
    </row>
    <row r="42" spans="1:28" outlineLevel="1">
      <c r="A42" s="32" t="s">
        <v>311</v>
      </c>
      <c r="B42" s="32" t="s">
        <v>310</v>
      </c>
      <c r="C42" s="32" t="s">
        <v>314</v>
      </c>
      <c r="E42" s="32" t="s">
        <v>321</v>
      </c>
      <c r="F42" s="39">
        <v>550</v>
      </c>
      <c r="G42" s="41">
        <v>125</v>
      </c>
      <c r="H42" s="51">
        <v>125</v>
      </c>
      <c r="I42" s="41">
        <v>125</v>
      </c>
      <c r="J42" s="41" t="s">
        <v>97</v>
      </c>
      <c r="K42" s="41">
        <v>150</v>
      </c>
      <c r="L42" s="41">
        <v>150</v>
      </c>
      <c r="M42" s="41">
        <v>150</v>
      </c>
      <c r="N42" s="41">
        <v>200</v>
      </c>
      <c r="O42" s="41">
        <v>200</v>
      </c>
      <c r="P42" s="41">
        <v>200</v>
      </c>
      <c r="Q42" s="41">
        <v>200</v>
      </c>
      <c r="R42" s="41">
        <v>200</v>
      </c>
      <c r="S42" s="41">
        <v>200</v>
      </c>
      <c r="T42" s="41">
        <v>245</v>
      </c>
      <c r="U42" s="41" t="s">
        <v>97</v>
      </c>
      <c r="V42" s="39" t="s">
        <v>97</v>
      </c>
      <c r="W42" s="39" t="s">
        <v>97</v>
      </c>
      <c r="X42" s="39"/>
      <c r="Y42" s="39"/>
      <c r="Z42" s="39"/>
      <c r="AA42" s="39">
        <v>370</v>
      </c>
      <c r="AB42" s="55" t="s">
        <v>331</v>
      </c>
    </row>
    <row r="43" spans="1:28" outlineLevel="1">
      <c r="A43" s="32" t="s">
        <v>311</v>
      </c>
      <c r="B43" s="32" t="s">
        <v>310</v>
      </c>
      <c r="C43" s="32" t="s">
        <v>314</v>
      </c>
      <c r="E43" s="32" t="s">
        <v>321</v>
      </c>
      <c r="F43" s="39">
        <v>600</v>
      </c>
      <c r="G43" s="41">
        <v>125</v>
      </c>
      <c r="H43" s="51">
        <v>125</v>
      </c>
      <c r="I43" s="41">
        <v>150</v>
      </c>
      <c r="J43" s="41" t="s">
        <v>97</v>
      </c>
      <c r="K43" s="41">
        <v>150</v>
      </c>
      <c r="L43" s="41">
        <v>150</v>
      </c>
      <c r="M43" s="41">
        <v>200</v>
      </c>
      <c r="N43" s="41">
        <v>200</v>
      </c>
      <c r="O43" s="41">
        <v>200</v>
      </c>
      <c r="P43" s="41">
        <v>200</v>
      </c>
      <c r="Q43" s="41">
        <v>200</v>
      </c>
      <c r="R43" s="41">
        <v>245</v>
      </c>
      <c r="S43" s="41">
        <v>245</v>
      </c>
      <c r="T43" s="41">
        <v>245</v>
      </c>
      <c r="U43" s="41" t="s">
        <v>97</v>
      </c>
      <c r="V43" s="39" t="s">
        <v>97</v>
      </c>
      <c r="W43" s="39" t="s">
        <v>97</v>
      </c>
      <c r="X43" s="39"/>
      <c r="Y43" s="39"/>
      <c r="Z43" s="39"/>
      <c r="AA43" s="39">
        <v>370</v>
      </c>
      <c r="AB43" s="55" t="s">
        <v>331</v>
      </c>
    </row>
    <row r="44" spans="1:28" outlineLevel="1">
      <c r="A44" s="54" t="s">
        <v>245</v>
      </c>
      <c r="B44" s="54" t="s">
        <v>245</v>
      </c>
      <c r="C44" s="54" t="s">
        <v>245</v>
      </c>
      <c r="D44" s="54" t="s">
        <v>245</v>
      </c>
      <c r="E44" s="54" t="s">
        <v>245</v>
      </c>
      <c r="F44" s="55" t="s">
        <v>245</v>
      </c>
      <c r="G44" s="55" t="s">
        <v>245</v>
      </c>
      <c r="H44" s="56" t="s">
        <v>245</v>
      </c>
      <c r="I44" s="55" t="s">
        <v>245</v>
      </c>
      <c r="J44" s="55" t="s">
        <v>245</v>
      </c>
      <c r="K44" s="55" t="s">
        <v>245</v>
      </c>
      <c r="L44" s="55" t="s">
        <v>245</v>
      </c>
      <c r="M44" s="55" t="s">
        <v>245</v>
      </c>
      <c r="N44" s="55" t="s">
        <v>245</v>
      </c>
      <c r="O44" s="55" t="s">
        <v>245</v>
      </c>
      <c r="P44" s="55" t="s">
        <v>245</v>
      </c>
      <c r="Q44" s="55" t="s">
        <v>245</v>
      </c>
      <c r="R44" s="55" t="s">
        <v>245</v>
      </c>
      <c r="S44" s="55" t="s">
        <v>245</v>
      </c>
      <c r="T44" s="55" t="s">
        <v>245</v>
      </c>
      <c r="U44" s="55" t="s">
        <v>245</v>
      </c>
      <c r="V44" s="55" t="s">
        <v>245</v>
      </c>
      <c r="W44" s="55" t="s">
        <v>245</v>
      </c>
      <c r="X44" s="55" t="s">
        <v>245</v>
      </c>
      <c r="Y44" s="55" t="s">
        <v>245</v>
      </c>
      <c r="Z44" s="55" t="s">
        <v>245</v>
      </c>
      <c r="AA44" s="55" t="s">
        <v>245</v>
      </c>
      <c r="AB44" s="55" t="s">
        <v>331</v>
      </c>
    </row>
    <row r="45" spans="1:28" outlineLevel="1">
      <c r="A45" s="32" t="s">
        <v>311</v>
      </c>
      <c r="B45" s="32" t="s">
        <v>310</v>
      </c>
      <c r="C45" s="32" t="s">
        <v>313</v>
      </c>
      <c r="E45" s="32" t="s">
        <v>322</v>
      </c>
      <c r="F45" s="39">
        <v>100</v>
      </c>
      <c r="G45" s="39">
        <v>30</v>
      </c>
      <c r="H45" s="39">
        <v>30</v>
      </c>
      <c r="I45" s="39">
        <v>40</v>
      </c>
      <c r="J45" s="39" t="s">
        <v>97</v>
      </c>
      <c r="K45" s="39">
        <v>40</v>
      </c>
      <c r="L45" s="39">
        <v>50</v>
      </c>
      <c r="M45" s="39">
        <v>50</v>
      </c>
      <c r="N45" s="39">
        <v>50</v>
      </c>
      <c r="O45" s="39">
        <v>50</v>
      </c>
      <c r="P45" s="39">
        <v>65</v>
      </c>
      <c r="Q45" s="39">
        <v>65</v>
      </c>
      <c r="R45" s="39">
        <v>65</v>
      </c>
      <c r="S45" s="39">
        <v>65</v>
      </c>
      <c r="T45" s="39">
        <v>65</v>
      </c>
      <c r="U45" s="39" t="s">
        <v>97</v>
      </c>
      <c r="V45" s="39" t="s">
        <v>97</v>
      </c>
      <c r="W45" s="39" t="s">
        <v>97</v>
      </c>
      <c r="X45" s="39"/>
      <c r="Y45" s="39"/>
      <c r="Z45" s="39"/>
      <c r="AA45" s="39">
        <v>100</v>
      </c>
      <c r="AB45" s="55" t="s">
        <v>331</v>
      </c>
    </row>
    <row r="46" spans="1:28" outlineLevel="1">
      <c r="A46" s="32" t="s">
        <v>311</v>
      </c>
      <c r="B46" s="32" t="s">
        <v>310</v>
      </c>
      <c r="C46" s="32" t="s">
        <v>313</v>
      </c>
      <c r="E46" s="32" t="s">
        <v>322</v>
      </c>
      <c r="F46" s="39">
        <v>150</v>
      </c>
      <c r="G46" s="39">
        <v>40</v>
      </c>
      <c r="H46" s="39">
        <v>50</v>
      </c>
      <c r="I46" s="39">
        <v>50</v>
      </c>
      <c r="J46" s="39" t="s">
        <v>97</v>
      </c>
      <c r="K46" s="39">
        <v>50</v>
      </c>
      <c r="L46" s="39">
        <v>65</v>
      </c>
      <c r="M46" s="39">
        <v>65</v>
      </c>
      <c r="N46" s="39">
        <v>65</v>
      </c>
      <c r="O46" s="39">
        <v>65</v>
      </c>
      <c r="P46" s="39">
        <v>75</v>
      </c>
      <c r="Q46" s="39">
        <v>75</v>
      </c>
      <c r="R46" s="39">
        <v>100</v>
      </c>
      <c r="S46" s="39">
        <v>100</v>
      </c>
      <c r="T46" s="39">
        <v>100</v>
      </c>
      <c r="U46" s="39" t="s">
        <v>97</v>
      </c>
      <c r="V46" s="39" t="s">
        <v>97</v>
      </c>
      <c r="W46" s="39" t="s">
        <v>97</v>
      </c>
      <c r="X46" s="39"/>
      <c r="Y46" s="39"/>
      <c r="Z46" s="39"/>
      <c r="AA46" s="39">
        <v>125</v>
      </c>
      <c r="AB46" s="55" t="s">
        <v>331</v>
      </c>
    </row>
    <row r="47" spans="1:28" outlineLevel="1">
      <c r="A47" s="32" t="s">
        <v>311</v>
      </c>
      <c r="B47" s="32" t="s">
        <v>310</v>
      </c>
      <c r="C47" s="32" t="s">
        <v>313</v>
      </c>
      <c r="E47" s="32" t="s">
        <v>322</v>
      </c>
      <c r="F47" s="39">
        <v>200</v>
      </c>
      <c r="G47" s="39">
        <v>50</v>
      </c>
      <c r="H47" s="39">
        <v>50</v>
      </c>
      <c r="I47" s="39">
        <v>65</v>
      </c>
      <c r="J47" s="39" t="s">
        <v>97</v>
      </c>
      <c r="K47" s="39">
        <v>75</v>
      </c>
      <c r="L47" s="39">
        <v>75</v>
      </c>
      <c r="M47" s="39">
        <v>75</v>
      </c>
      <c r="N47" s="39">
        <v>75</v>
      </c>
      <c r="O47" s="39">
        <v>100</v>
      </c>
      <c r="P47" s="39">
        <v>100</v>
      </c>
      <c r="Q47" s="39">
        <v>100</v>
      </c>
      <c r="R47" s="39">
        <v>100</v>
      </c>
      <c r="S47" s="39">
        <v>100</v>
      </c>
      <c r="T47" s="39">
        <v>100</v>
      </c>
      <c r="U47" s="39" t="s">
        <v>97</v>
      </c>
      <c r="V47" s="39" t="s">
        <v>97</v>
      </c>
      <c r="W47" s="39" t="s">
        <v>97</v>
      </c>
      <c r="X47" s="39"/>
      <c r="Y47" s="39"/>
      <c r="Z47" s="39"/>
      <c r="AA47" s="39">
        <v>150</v>
      </c>
      <c r="AB47" s="55" t="s">
        <v>331</v>
      </c>
    </row>
    <row r="48" spans="1:28" outlineLevel="1">
      <c r="A48" s="54" t="s">
        <v>245</v>
      </c>
      <c r="B48" s="54" t="s">
        <v>245</v>
      </c>
      <c r="C48" s="54" t="s">
        <v>245</v>
      </c>
      <c r="D48" s="54" t="s">
        <v>245</v>
      </c>
      <c r="E48" s="54" t="s">
        <v>245</v>
      </c>
      <c r="F48" s="54" t="s">
        <v>245</v>
      </c>
      <c r="G48" s="54" t="s">
        <v>245</v>
      </c>
      <c r="H48" s="57" t="s">
        <v>245</v>
      </c>
      <c r="I48" s="54" t="s">
        <v>245</v>
      </c>
      <c r="J48" s="54" t="s">
        <v>245</v>
      </c>
      <c r="K48" s="54" t="s">
        <v>245</v>
      </c>
      <c r="L48" s="54" t="s">
        <v>245</v>
      </c>
      <c r="M48" s="54" t="s">
        <v>245</v>
      </c>
      <c r="N48" s="54" t="s">
        <v>245</v>
      </c>
      <c r="O48" s="54" t="s">
        <v>245</v>
      </c>
      <c r="P48" s="54" t="s">
        <v>245</v>
      </c>
      <c r="Q48" s="54" t="s">
        <v>245</v>
      </c>
      <c r="R48" s="54" t="s">
        <v>245</v>
      </c>
      <c r="S48" s="54" t="s">
        <v>245</v>
      </c>
      <c r="T48" s="54" t="s">
        <v>245</v>
      </c>
      <c r="U48" s="54" t="s">
        <v>245</v>
      </c>
      <c r="V48" s="54" t="s">
        <v>245</v>
      </c>
      <c r="W48" s="54" t="s">
        <v>245</v>
      </c>
      <c r="X48" s="54" t="s">
        <v>245</v>
      </c>
      <c r="Y48" s="54" t="s">
        <v>245</v>
      </c>
      <c r="Z48" s="54" t="s">
        <v>245</v>
      </c>
      <c r="AA48" s="54" t="s">
        <v>245</v>
      </c>
      <c r="AB48" s="54" t="s">
        <v>331</v>
      </c>
    </row>
    <row r="49" spans="1:28" outlineLevel="1">
      <c r="A49" s="32" t="s">
        <v>311</v>
      </c>
      <c r="B49" s="32" t="s">
        <v>310</v>
      </c>
      <c r="C49" s="32" t="s">
        <v>312</v>
      </c>
      <c r="E49" s="32" t="s">
        <v>323</v>
      </c>
      <c r="F49" s="32">
        <v>15</v>
      </c>
      <c r="G49" s="32">
        <v>25</v>
      </c>
      <c r="H49" s="32">
        <v>25</v>
      </c>
      <c r="I49" s="32">
        <v>25</v>
      </c>
      <c r="J49" s="32" t="s">
        <v>97</v>
      </c>
      <c r="K49" s="32">
        <v>25</v>
      </c>
      <c r="L49" s="32">
        <v>25</v>
      </c>
      <c r="M49" s="32">
        <v>25</v>
      </c>
      <c r="N49" s="32">
        <v>25</v>
      </c>
      <c r="O49" s="32">
        <v>25</v>
      </c>
      <c r="P49" s="32">
        <v>25</v>
      </c>
      <c r="Q49" s="32">
        <v>30</v>
      </c>
      <c r="R49" s="32">
        <v>30</v>
      </c>
      <c r="S49" s="32">
        <v>30</v>
      </c>
      <c r="T49" s="32">
        <v>30</v>
      </c>
      <c r="U49" s="32" t="s">
        <v>97</v>
      </c>
      <c r="V49" s="32" t="s">
        <v>97</v>
      </c>
      <c r="W49" s="32" t="s">
        <v>97</v>
      </c>
      <c r="AA49" s="32">
        <v>30</v>
      </c>
      <c r="AB49" s="54" t="s">
        <v>331</v>
      </c>
    </row>
    <row r="50" spans="1:28" outlineLevel="1">
      <c r="A50" s="32" t="s">
        <v>311</v>
      </c>
      <c r="B50" s="32" t="s">
        <v>310</v>
      </c>
      <c r="C50" s="32" t="s">
        <v>312</v>
      </c>
      <c r="E50" s="32" t="s">
        <v>323</v>
      </c>
      <c r="F50" s="32">
        <v>10</v>
      </c>
      <c r="G50" s="32">
        <v>25</v>
      </c>
      <c r="H50" s="32">
        <v>25</v>
      </c>
      <c r="I50" s="32">
        <v>25</v>
      </c>
      <c r="J50" s="32" t="s">
        <v>97</v>
      </c>
      <c r="K50" s="32">
        <v>25</v>
      </c>
      <c r="L50" s="32">
        <v>25</v>
      </c>
      <c r="M50" s="32">
        <v>30</v>
      </c>
      <c r="N50" s="32">
        <v>30</v>
      </c>
      <c r="O50" s="32">
        <v>30</v>
      </c>
      <c r="P50" s="32">
        <v>30</v>
      </c>
      <c r="Q50" s="32">
        <v>30</v>
      </c>
      <c r="R50" s="32">
        <v>30</v>
      </c>
      <c r="S50" s="32">
        <v>30</v>
      </c>
      <c r="T50" s="32">
        <v>30</v>
      </c>
      <c r="U50" s="32" t="s">
        <v>97</v>
      </c>
      <c r="V50" s="32" t="s">
        <v>97</v>
      </c>
      <c r="W50" s="32" t="s">
        <v>97</v>
      </c>
      <c r="AA50" s="32">
        <v>40</v>
      </c>
      <c r="AB50" s="54" t="s">
        <v>331</v>
      </c>
    </row>
    <row r="51" spans="1:28" outlineLevel="1">
      <c r="A51" s="32" t="s">
        <v>311</v>
      </c>
      <c r="B51" s="32" t="s">
        <v>310</v>
      </c>
      <c r="C51" s="32" t="s">
        <v>312</v>
      </c>
      <c r="E51" s="32" t="s">
        <v>323</v>
      </c>
      <c r="F51" s="32">
        <v>5</v>
      </c>
      <c r="G51" s="32">
        <v>25</v>
      </c>
      <c r="H51" s="32">
        <v>30</v>
      </c>
      <c r="I51" s="32">
        <v>30</v>
      </c>
      <c r="J51" s="32" t="s">
        <v>97</v>
      </c>
      <c r="K51" s="32">
        <v>30</v>
      </c>
      <c r="L51" s="32">
        <v>30</v>
      </c>
      <c r="M51" s="32">
        <v>40</v>
      </c>
      <c r="N51" s="32">
        <v>40</v>
      </c>
      <c r="O51" s="32">
        <v>40</v>
      </c>
      <c r="P51" s="32">
        <v>40</v>
      </c>
      <c r="Q51" s="32">
        <v>40</v>
      </c>
      <c r="R51" s="32">
        <v>40</v>
      </c>
      <c r="S51" s="32">
        <v>40</v>
      </c>
      <c r="T51" s="32">
        <v>40</v>
      </c>
      <c r="U51" s="32" t="s">
        <v>97</v>
      </c>
      <c r="V51" s="32" t="s">
        <v>97</v>
      </c>
      <c r="W51" s="32" t="s">
        <v>97</v>
      </c>
      <c r="AA51" s="32">
        <v>50</v>
      </c>
      <c r="AB51" s="54" t="s">
        <v>331</v>
      </c>
    </row>
    <row r="52" spans="1:28" outlineLevel="1">
      <c r="A52" s="32" t="s">
        <v>311</v>
      </c>
      <c r="B52" s="32" t="s">
        <v>310</v>
      </c>
      <c r="C52" s="32" t="s">
        <v>312</v>
      </c>
      <c r="E52" s="32" t="s">
        <v>323</v>
      </c>
      <c r="F52" s="32">
        <v>0</v>
      </c>
      <c r="G52" s="32">
        <v>30</v>
      </c>
      <c r="H52" s="32">
        <v>30</v>
      </c>
      <c r="I52" s="32">
        <v>40</v>
      </c>
      <c r="J52" s="32" t="s">
        <v>97</v>
      </c>
      <c r="K52" s="32">
        <v>40</v>
      </c>
      <c r="L52" s="32">
        <v>40</v>
      </c>
      <c r="M52" s="32">
        <v>40</v>
      </c>
      <c r="N52" s="32">
        <v>40</v>
      </c>
      <c r="O52" s="32">
        <v>40</v>
      </c>
      <c r="P52" s="32">
        <v>50</v>
      </c>
      <c r="Q52" s="32">
        <v>50</v>
      </c>
      <c r="R52" s="32">
        <v>50</v>
      </c>
      <c r="S52" s="32">
        <v>50</v>
      </c>
      <c r="T52" s="32">
        <v>50</v>
      </c>
      <c r="U52" s="32" t="s">
        <v>97</v>
      </c>
      <c r="V52" s="32" t="s">
        <v>97</v>
      </c>
      <c r="W52" s="32" t="s">
        <v>97</v>
      </c>
      <c r="AA52" s="32">
        <v>65</v>
      </c>
      <c r="AB52" s="54" t="s">
        <v>331</v>
      </c>
    </row>
    <row r="53" spans="1:28" outlineLevel="1">
      <c r="A53" s="32" t="s">
        <v>311</v>
      </c>
      <c r="B53" s="32" t="s">
        <v>310</v>
      </c>
      <c r="C53" s="32" t="s">
        <v>312</v>
      </c>
      <c r="E53" s="32" t="s">
        <v>323</v>
      </c>
      <c r="F53" s="32">
        <v>-5</v>
      </c>
      <c r="G53" s="32">
        <v>40</v>
      </c>
      <c r="H53" s="32">
        <v>40</v>
      </c>
      <c r="I53" s="32">
        <v>40</v>
      </c>
      <c r="J53" s="32" t="s">
        <v>97</v>
      </c>
      <c r="K53" s="32">
        <v>40</v>
      </c>
      <c r="L53" s="32">
        <v>40</v>
      </c>
      <c r="M53" s="32">
        <v>50</v>
      </c>
      <c r="N53" s="32">
        <v>50</v>
      </c>
      <c r="O53" s="32">
        <v>50</v>
      </c>
      <c r="P53" s="32">
        <v>50</v>
      </c>
      <c r="Q53" s="32">
        <v>50</v>
      </c>
      <c r="R53" s="32">
        <v>50</v>
      </c>
      <c r="S53" s="32">
        <v>65</v>
      </c>
      <c r="T53" s="32">
        <v>65</v>
      </c>
      <c r="U53" s="32" t="s">
        <v>97</v>
      </c>
      <c r="V53" s="32" t="s">
        <v>97</v>
      </c>
      <c r="W53" s="32" t="s">
        <v>97</v>
      </c>
      <c r="AA53" s="32">
        <v>65</v>
      </c>
      <c r="AB53" s="54" t="s">
        <v>331</v>
      </c>
    </row>
    <row r="54" spans="1:28" outlineLevel="1">
      <c r="A54" s="32" t="s">
        <v>311</v>
      </c>
      <c r="B54" s="32" t="s">
        <v>310</v>
      </c>
      <c r="C54" s="32" t="s">
        <v>312</v>
      </c>
      <c r="E54" s="32" t="s">
        <v>323</v>
      </c>
      <c r="F54" s="32">
        <v>-10</v>
      </c>
      <c r="G54" s="32">
        <v>40</v>
      </c>
      <c r="H54" s="45">
        <v>40</v>
      </c>
      <c r="I54" s="32">
        <v>40</v>
      </c>
      <c r="J54" s="32" t="s">
        <v>97</v>
      </c>
      <c r="K54" s="32">
        <v>50</v>
      </c>
      <c r="L54" s="32">
        <v>50</v>
      </c>
      <c r="M54" s="32">
        <v>50</v>
      </c>
      <c r="N54" s="32">
        <v>50</v>
      </c>
      <c r="O54" s="32">
        <v>50</v>
      </c>
      <c r="P54" s="32">
        <v>65</v>
      </c>
      <c r="Q54" s="32">
        <v>65</v>
      </c>
      <c r="R54" s="32">
        <v>65</v>
      </c>
      <c r="S54" s="32">
        <v>65</v>
      </c>
      <c r="T54" s="32">
        <v>65</v>
      </c>
      <c r="U54" s="32" t="s">
        <v>97</v>
      </c>
      <c r="V54" s="32" t="s">
        <v>97</v>
      </c>
      <c r="W54" s="32" t="s">
        <v>97</v>
      </c>
      <c r="AA54" s="32">
        <v>75</v>
      </c>
      <c r="AB54" s="54" t="s">
        <v>331</v>
      </c>
    </row>
    <row r="55" spans="1:28" outlineLevel="1">
      <c r="A55" s="32" t="s">
        <v>311</v>
      </c>
      <c r="B55" s="32" t="s">
        <v>310</v>
      </c>
      <c r="C55" s="32" t="s">
        <v>312</v>
      </c>
      <c r="E55" s="32" t="s">
        <v>323</v>
      </c>
      <c r="F55" s="32">
        <v>-15</v>
      </c>
      <c r="G55" s="32">
        <v>50</v>
      </c>
      <c r="H55" s="45">
        <v>50</v>
      </c>
      <c r="I55" s="32">
        <v>50</v>
      </c>
      <c r="J55" s="32" t="s">
        <v>97</v>
      </c>
      <c r="K55" s="32">
        <v>50</v>
      </c>
      <c r="L55" s="32">
        <v>50</v>
      </c>
      <c r="M55" s="48">
        <v>65</v>
      </c>
      <c r="N55" s="32">
        <v>65</v>
      </c>
      <c r="O55" s="32">
        <v>65</v>
      </c>
      <c r="P55" s="32">
        <v>65</v>
      </c>
      <c r="Q55" s="32">
        <v>65</v>
      </c>
      <c r="R55" s="32">
        <v>65</v>
      </c>
      <c r="S55" s="32">
        <v>65</v>
      </c>
      <c r="T55" s="32">
        <v>65</v>
      </c>
      <c r="U55" s="32" t="s">
        <v>97</v>
      </c>
      <c r="V55" s="32" t="s">
        <v>97</v>
      </c>
      <c r="W55" s="32" t="s">
        <v>97</v>
      </c>
      <c r="AA55" s="32">
        <v>100</v>
      </c>
      <c r="AB55" s="54" t="s">
        <v>331</v>
      </c>
    </row>
    <row r="56" spans="1:28" outlineLevel="1">
      <c r="A56" s="32" t="s">
        <v>311</v>
      </c>
      <c r="B56" s="32" t="s">
        <v>310</v>
      </c>
      <c r="C56" s="32" t="s">
        <v>312</v>
      </c>
      <c r="E56" s="32" t="s">
        <v>323</v>
      </c>
      <c r="F56" s="32">
        <v>-20</v>
      </c>
      <c r="G56" s="32">
        <v>50</v>
      </c>
      <c r="H56" s="45">
        <v>50</v>
      </c>
      <c r="I56" s="32">
        <v>50</v>
      </c>
      <c r="J56" s="32" t="s">
        <v>97</v>
      </c>
      <c r="K56" s="48">
        <v>65</v>
      </c>
      <c r="L56" s="48">
        <v>65</v>
      </c>
      <c r="M56" s="47">
        <v>65</v>
      </c>
      <c r="N56" s="32">
        <v>65</v>
      </c>
      <c r="O56" s="32">
        <v>65</v>
      </c>
      <c r="P56" s="32">
        <v>65</v>
      </c>
      <c r="Q56" s="32">
        <v>65</v>
      </c>
      <c r="R56" s="32">
        <v>75</v>
      </c>
      <c r="S56" s="32">
        <v>75</v>
      </c>
      <c r="T56" s="32">
        <v>75</v>
      </c>
      <c r="U56" s="32" t="s">
        <v>97</v>
      </c>
      <c r="V56" s="32" t="s">
        <v>97</v>
      </c>
      <c r="W56" s="32" t="s">
        <v>97</v>
      </c>
      <c r="AA56" s="32">
        <v>100</v>
      </c>
      <c r="AB56" s="54" t="s">
        <v>331</v>
      </c>
    </row>
    <row r="57" spans="1:28" outlineLevel="1">
      <c r="A57" s="32" t="s">
        <v>311</v>
      </c>
      <c r="B57" s="32" t="s">
        <v>310</v>
      </c>
      <c r="C57" s="32" t="s">
        <v>312</v>
      </c>
      <c r="E57" s="32" t="s">
        <v>323</v>
      </c>
      <c r="F57" s="32">
        <v>-25</v>
      </c>
      <c r="G57" s="32">
        <v>50</v>
      </c>
      <c r="H57" s="45">
        <v>50</v>
      </c>
      <c r="I57" s="32">
        <v>50</v>
      </c>
      <c r="J57" s="32" t="s">
        <v>97</v>
      </c>
      <c r="K57" s="47">
        <v>65</v>
      </c>
      <c r="L57" s="47">
        <v>65</v>
      </c>
      <c r="M57" s="47">
        <v>65</v>
      </c>
      <c r="N57" s="32">
        <v>65</v>
      </c>
      <c r="O57" s="32">
        <v>65</v>
      </c>
      <c r="P57" s="48">
        <v>75</v>
      </c>
      <c r="Q57" s="32">
        <v>75</v>
      </c>
      <c r="R57" s="32">
        <v>75</v>
      </c>
      <c r="S57" s="32">
        <v>75</v>
      </c>
      <c r="T57" s="47">
        <v>100</v>
      </c>
      <c r="U57" s="32" t="s">
        <v>97</v>
      </c>
      <c r="V57" s="32" t="s">
        <v>97</v>
      </c>
      <c r="W57" s="32" t="s">
        <v>97</v>
      </c>
      <c r="AA57" s="32">
        <v>100</v>
      </c>
      <c r="AB57" s="54" t="s">
        <v>331</v>
      </c>
    </row>
    <row r="58" spans="1:28" outlineLevel="1">
      <c r="A58" s="32" t="s">
        <v>311</v>
      </c>
      <c r="B58" s="32" t="s">
        <v>310</v>
      </c>
      <c r="C58" s="32" t="s">
        <v>312</v>
      </c>
      <c r="E58" s="32" t="s">
        <v>323</v>
      </c>
      <c r="F58" s="32">
        <v>-30</v>
      </c>
      <c r="G58" s="32">
        <v>50</v>
      </c>
      <c r="H58" s="49">
        <v>65</v>
      </c>
      <c r="I58" s="48">
        <v>65</v>
      </c>
      <c r="J58" s="48" t="s">
        <v>97</v>
      </c>
      <c r="K58" s="47">
        <v>65</v>
      </c>
      <c r="L58" s="47">
        <v>65</v>
      </c>
      <c r="M58" s="47">
        <v>65</v>
      </c>
      <c r="N58" s="48">
        <v>75</v>
      </c>
      <c r="O58" s="48">
        <v>75</v>
      </c>
      <c r="P58" s="47">
        <v>75</v>
      </c>
      <c r="Q58" s="32">
        <v>75</v>
      </c>
      <c r="R58" s="47">
        <v>100</v>
      </c>
      <c r="S58" s="47">
        <v>100</v>
      </c>
      <c r="T58" s="47">
        <v>100</v>
      </c>
      <c r="U58" s="32" t="s">
        <v>97</v>
      </c>
      <c r="V58" s="32" t="s">
        <v>97</v>
      </c>
      <c r="W58" s="32" t="s">
        <v>97</v>
      </c>
      <c r="AA58" s="48">
        <v>125</v>
      </c>
      <c r="AB58" s="54" t="s">
        <v>331</v>
      </c>
    </row>
    <row r="59" spans="1:28" outlineLevel="1">
      <c r="A59" s="32" t="s">
        <v>311</v>
      </c>
      <c r="B59" s="32" t="s">
        <v>310</v>
      </c>
      <c r="C59" s="32" t="s">
        <v>312</v>
      </c>
      <c r="E59" s="32" t="s">
        <v>323</v>
      </c>
      <c r="F59" s="32">
        <v>-35</v>
      </c>
      <c r="G59" s="48">
        <v>65</v>
      </c>
      <c r="H59" s="50">
        <v>65</v>
      </c>
      <c r="I59" s="47">
        <v>65</v>
      </c>
      <c r="J59" s="47" t="s">
        <v>97</v>
      </c>
      <c r="K59" s="47">
        <v>65</v>
      </c>
      <c r="L59" s="47">
        <v>65</v>
      </c>
      <c r="M59" s="47">
        <v>75</v>
      </c>
      <c r="N59" s="47">
        <v>75</v>
      </c>
      <c r="O59" s="47">
        <v>75</v>
      </c>
      <c r="P59" s="47">
        <v>100</v>
      </c>
      <c r="Q59" s="48">
        <v>100</v>
      </c>
      <c r="R59" s="47">
        <v>100</v>
      </c>
      <c r="S59" s="47">
        <v>100</v>
      </c>
      <c r="T59" s="47">
        <v>100</v>
      </c>
      <c r="U59" s="32" t="s">
        <v>97</v>
      </c>
      <c r="V59" s="32" t="s">
        <v>97</v>
      </c>
      <c r="W59" s="32" t="s">
        <v>97</v>
      </c>
      <c r="AA59" s="47">
        <v>125</v>
      </c>
      <c r="AB59" s="54" t="s">
        <v>331</v>
      </c>
    </row>
    <row r="60" spans="1:28" outlineLevel="1">
      <c r="A60" s="32" t="s">
        <v>311</v>
      </c>
      <c r="B60" s="32" t="s">
        <v>310</v>
      </c>
      <c r="C60" s="32" t="s">
        <v>312</v>
      </c>
      <c r="E60" s="32" t="s">
        <v>323</v>
      </c>
      <c r="F60" s="32">
        <v>-40</v>
      </c>
      <c r="G60" s="48">
        <v>65</v>
      </c>
      <c r="H60" s="50">
        <v>65</v>
      </c>
      <c r="I60" s="47">
        <v>65</v>
      </c>
      <c r="J60" s="47" t="s">
        <v>97</v>
      </c>
      <c r="K60" s="47">
        <v>65</v>
      </c>
      <c r="L60" s="47">
        <v>75</v>
      </c>
      <c r="M60" s="47">
        <v>75</v>
      </c>
      <c r="N60" s="47">
        <v>75</v>
      </c>
      <c r="O60" s="47">
        <v>100</v>
      </c>
      <c r="P60" s="47">
        <v>100</v>
      </c>
      <c r="Q60" s="47">
        <v>100</v>
      </c>
      <c r="R60" s="47">
        <v>100</v>
      </c>
      <c r="S60" s="47">
        <v>100</v>
      </c>
      <c r="T60" s="47">
        <v>100</v>
      </c>
      <c r="U60" s="32" t="s">
        <v>97</v>
      </c>
      <c r="V60" s="32" t="s">
        <v>97</v>
      </c>
      <c r="W60" s="32" t="s">
        <v>97</v>
      </c>
      <c r="AA60" s="47">
        <v>125</v>
      </c>
      <c r="AB60" s="54" t="s">
        <v>331</v>
      </c>
    </row>
    <row r="61" spans="1:28" outlineLevel="1">
      <c r="A61" s="32" t="s">
        <v>311</v>
      </c>
      <c r="B61" s="32" t="s">
        <v>310</v>
      </c>
      <c r="C61" s="32" t="s">
        <v>312</v>
      </c>
      <c r="E61" s="32" t="s">
        <v>323</v>
      </c>
      <c r="F61" s="32">
        <v>-45</v>
      </c>
      <c r="G61" s="48">
        <v>65</v>
      </c>
      <c r="H61" s="50">
        <v>65</v>
      </c>
      <c r="I61" s="47">
        <v>65</v>
      </c>
      <c r="J61" s="47" t="s">
        <v>97</v>
      </c>
      <c r="K61" s="47">
        <v>75</v>
      </c>
      <c r="L61" s="47">
        <v>75</v>
      </c>
      <c r="M61" s="47">
        <v>75</v>
      </c>
      <c r="N61" s="47">
        <v>100</v>
      </c>
      <c r="O61" s="47">
        <v>100</v>
      </c>
      <c r="P61" s="47">
        <v>100</v>
      </c>
      <c r="Q61" s="47">
        <v>100</v>
      </c>
      <c r="R61" s="47">
        <v>100</v>
      </c>
      <c r="S61" s="47">
        <v>100</v>
      </c>
      <c r="T61" s="47">
        <v>100</v>
      </c>
      <c r="U61" s="32" t="s">
        <v>97</v>
      </c>
      <c r="V61" s="32" t="s">
        <v>97</v>
      </c>
      <c r="W61" s="32" t="s">
        <v>97</v>
      </c>
      <c r="AA61" s="47">
        <v>140</v>
      </c>
      <c r="AB61" s="54" t="s">
        <v>331</v>
      </c>
    </row>
    <row r="62" spans="1:28" outlineLevel="1">
      <c r="A62" s="32" t="s">
        <v>311</v>
      </c>
      <c r="B62" s="32" t="s">
        <v>310</v>
      </c>
      <c r="C62" s="32" t="s">
        <v>312</v>
      </c>
      <c r="E62" s="32" t="s">
        <v>323</v>
      </c>
      <c r="F62" s="32">
        <v>-50</v>
      </c>
      <c r="G62" s="48">
        <v>65</v>
      </c>
      <c r="H62" s="50">
        <v>65</v>
      </c>
      <c r="I62" s="47">
        <v>65</v>
      </c>
      <c r="J62" s="47" t="s">
        <v>97</v>
      </c>
      <c r="K62" s="47">
        <v>75</v>
      </c>
      <c r="L62" s="47">
        <v>75</v>
      </c>
      <c r="M62" s="47">
        <v>100</v>
      </c>
      <c r="N62" s="47">
        <v>100</v>
      </c>
      <c r="O62" s="47">
        <v>100</v>
      </c>
      <c r="P62" s="47">
        <v>100</v>
      </c>
      <c r="Q62" s="47">
        <v>100</v>
      </c>
      <c r="R62" s="47">
        <v>100</v>
      </c>
      <c r="S62" s="47">
        <v>100</v>
      </c>
      <c r="T62" s="47">
        <v>125</v>
      </c>
      <c r="U62" s="32" t="s">
        <v>97</v>
      </c>
      <c r="V62" s="32" t="s">
        <v>97</v>
      </c>
      <c r="W62" s="32" t="s">
        <v>97</v>
      </c>
      <c r="AA62" s="47">
        <v>140</v>
      </c>
      <c r="AB62" s="54" t="s">
        <v>331</v>
      </c>
    </row>
    <row r="63" spans="1:28" outlineLevel="1">
      <c r="A63" s="54" t="s">
        <v>331</v>
      </c>
      <c r="B63" s="54" t="s">
        <v>331</v>
      </c>
      <c r="C63" s="54" t="s">
        <v>331</v>
      </c>
      <c r="D63" s="54" t="s">
        <v>331</v>
      </c>
      <c r="E63" s="54" t="s">
        <v>331</v>
      </c>
      <c r="F63" s="54" t="s">
        <v>331</v>
      </c>
      <c r="G63" s="54" t="s">
        <v>331</v>
      </c>
      <c r="H63" s="57" t="s">
        <v>331</v>
      </c>
      <c r="I63" s="54" t="s">
        <v>331</v>
      </c>
      <c r="J63" s="54" t="s">
        <v>331</v>
      </c>
      <c r="K63" s="54" t="s">
        <v>331</v>
      </c>
      <c r="L63" s="54" t="s">
        <v>331</v>
      </c>
      <c r="M63" s="54" t="s">
        <v>331</v>
      </c>
      <c r="N63" s="54" t="s">
        <v>331</v>
      </c>
      <c r="O63" s="54" t="s">
        <v>331</v>
      </c>
      <c r="P63" s="54" t="s">
        <v>331</v>
      </c>
      <c r="Q63" s="54" t="s">
        <v>331</v>
      </c>
      <c r="R63" s="54" t="s">
        <v>331</v>
      </c>
      <c r="S63" s="54" t="s">
        <v>331</v>
      </c>
      <c r="T63" s="54" t="s">
        <v>331</v>
      </c>
      <c r="U63" s="54" t="s">
        <v>331</v>
      </c>
      <c r="V63" s="54" t="s">
        <v>331</v>
      </c>
      <c r="W63" s="54" t="s">
        <v>331</v>
      </c>
      <c r="X63" s="54" t="s">
        <v>331</v>
      </c>
      <c r="Y63" s="54" t="s">
        <v>331</v>
      </c>
      <c r="Z63" s="54" t="s">
        <v>331</v>
      </c>
      <c r="AA63" s="54" t="s">
        <v>331</v>
      </c>
      <c r="AB63" s="54" t="s">
        <v>331</v>
      </c>
    </row>
    <row r="64" spans="1:28" outlineLevel="1">
      <c r="A64" s="32" t="s">
        <v>311</v>
      </c>
      <c r="B64" s="32" t="s">
        <v>310</v>
      </c>
      <c r="C64" s="32" t="s">
        <v>309</v>
      </c>
      <c r="E64" s="32" t="s">
        <v>324</v>
      </c>
      <c r="F64" s="32">
        <v>15</v>
      </c>
      <c r="G64" s="32">
        <v>30</v>
      </c>
      <c r="H64" s="45">
        <v>30</v>
      </c>
      <c r="I64" s="45">
        <v>30</v>
      </c>
      <c r="J64" s="45" t="s">
        <v>97</v>
      </c>
      <c r="K64" s="45">
        <v>30</v>
      </c>
      <c r="L64" s="45">
        <v>30</v>
      </c>
      <c r="M64" s="45">
        <v>30</v>
      </c>
      <c r="N64" s="45">
        <v>30</v>
      </c>
      <c r="O64" s="45">
        <v>30</v>
      </c>
      <c r="P64" s="45">
        <v>30</v>
      </c>
      <c r="Q64" s="45">
        <v>30</v>
      </c>
      <c r="R64" s="45">
        <v>30</v>
      </c>
      <c r="S64" s="45">
        <v>30</v>
      </c>
      <c r="T64" s="45">
        <v>30</v>
      </c>
      <c r="AA64" s="32">
        <v>30</v>
      </c>
      <c r="AB64" s="54" t="s">
        <v>331</v>
      </c>
    </row>
    <row r="65" spans="1:28" outlineLevel="1">
      <c r="A65" s="32" t="s">
        <v>311</v>
      </c>
      <c r="B65" s="32" t="s">
        <v>310</v>
      </c>
      <c r="C65" s="32" t="s">
        <v>309</v>
      </c>
      <c r="E65" s="32" t="s">
        <v>324</v>
      </c>
      <c r="F65" s="32">
        <v>10</v>
      </c>
      <c r="G65" s="32">
        <v>30</v>
      </c>
      <c r="H65" s="45">
        <v>30</v>
      </c>
      <c r="I65" s="45">
        <v>30</v>
      </c>
      <c r="J65" s="45" t="s">
        <v>97</v>
      </c>
      <c r="K65" s="45">
        <v>30</v>
      </c>
      <c r="L65" s="45">
        <v>30</v>
      </c>
      <c r="M65" s="45">
        <v>30</v>
      </c>
      <c r="N65" s="45">
        <v>30</v>
      </c>
      <c r="O65" s="45">
        <v>30</v>
      </c>
      <c r="P65" s="45">
        <v>30</v>
      </c>
      <c r="Q65" s="45">
        <v>30</v>
      </c>
      <c r="R65" s="45">
        <v>30</v>
      </c>
      <c r="S65" s="45">
        <v>30</v>
      </c>
      <c r="T65" s="45">
        <v>30</v>
      </c>
      <c r="AA65" s="32">
        <v>30</v>
      </c>
      <c r="AB65" s="54" t="s">
        <v>331</v>
      </c>
    </row>
    <row r="66" spans="1:28" outlineLevel="1">
      <c r="A66" s="32" t="s">
        <v>311</v>
      </c>
      <c r="B66" s="32" t="s">
        <v>310</v>
      </c>
      <c r="C66" s="32" t="s">
        <v>309</v>
      </c>
      <c r="E66" s="32" t="s">
        <v>324</v>
      </c>
      <c r="F66" s="32">
        <v>5</v>
      </c>
      <c r="G66" s="32">
        <v>30</v>
      </c>
      <c r="H66" s="45">
        <v>30</v>
      </c>
      <c r="I66" s="45">
        <v>30</v>
      </c>
      <c r="J66" s="45" t="s">
        <v>97</v>
      </c>
      <c r="K66" s="45">
        <v>30</v>
      </c>
      <c r="L66" s="45">
        <v>30</v>
      </c>
      <c r="M66" s="45">
        <v>30</v>
      </c>
      <c r="N66" s="45">
        <v>30</v>
      </c>
      <c r="O66" s="45">
        <v>30</v>
      </c>
      <c r="P66" s="45">
        <v>30</v>
      </c>
      <c r="Q66" s="45">
        <v>30</v>
      </c>
      <c r="R66" s="45">
        <v>30</v>
      </c>
      <c r="S66" s="45">
        <v>30</v>
      </c>
      <c r="T66" s="45">
        <v>30</v>
      </c>
      <c r="AA66" s="32">
        <v>30</v>
      </c>
      <c r="AB66" s="54" t="s">
        <v>331</v>
      </c>
    </row>
    <row r="67" spans="1:28" outlineLevel="1">
      <c r="A67" s="32" t="s">
        <v>311</v>
      </c>
      <c r="B67" s="32" t="s">
        <v>310</v>
      </c>
      <c r="C67" s="32" t="s">
        <v>309</v>
      </c>
      <c r="E67" s="32" t="s">
        <v>324</v>
      </c>
      <c r="F67" s="32">
        <v>0</v>
      </c>
      <c r="G67" s="32">
        <v>30</v>
      </c>
      <c r="H67" s="45">
        <v>30</v>
      </c>
      <c r="I67" s="45">
        <v>30</v>
      </c>
      <c r="J67" s="45" t="s">
        <v>97</v>
      </c>
      <c r="K67" s="45">
        <v>30</v>
      </c>
      <c r="L67" s="45">
        <v>30</v>
      </c>
      <c r="M67" s="45">
        <v>30</v>
      </c>
      <c r="N67" s="45">
        <v>30</v>
      </c>
      <c r="O67" s="45">
        <v>30</v>
      </c>
      <c r="P67" s="45">
        <v>30</v>
      </c>
      <c r="Q67" s="45">
        <v>30</v>
      </c>
      <c r="R67" s="45">
        <v>30</v>
      </c>
      <c r="S67" s="45">
        <v>30</v>
      </c>
      <c r="T67" s="45">
        <v>30</v>
      </c>
      <c r="AA67" s="32">
        <v>40</v>
      </c>
      <c r="AB67" s="54" t="s">
        <v>331</v>
      </c>
    </row>
    <row r="68" spans="1:28" outlineLevel="1">
      <c r="A68" s="32" t="s">
        <v>311</v>
      </c>
      <c r="B68" s="32" t="s">
        <v>310</v>
      </c>
      <c r="C68" s="32" t="s">
        <v>309</v>
      </c>
      <c r="E68" s="32" t="s">
        <v>324</v>
      </c>
      <c r="F68" s="32">
        <v>-5</v>
      </c>
      <c r="G68" s="32">
        <v>30</v>
      </c>
      <c r="H68" s="45">
        <v>30</v>
      </c>
      <c r="I68" s="45">
        <v>30</v>
      </c>
      <c r="J68" s="45" t="s">
        <v>97</v>
      </c>
      <c r="K68" s="45">
        <v>30</v>
      </c>
      <c r="L68" s="45">
        <v>30</v>
      </c>
      <c r="M68" s="45">
        <v>30</v>
      </c>
      <c r="N68" s="45">
        <v>30</v>
      </c>
      <c r="O68" s="45">
        <v>30</v>
      </c>
      <c r="P68" s="46">
        <v>40</v>
      </c>
      <c r="Q68" s="46">
        <v>40</v>
      </c>
      <c r="R68" s="46">
        <v>40</v>
      </c>
      <c r="S68" s="46">
        <v>40</v>
      </c>
      <c r="T68" s="46">
        <v>40</v>
      </c>
      <c r="AA68" s="32">
        <v>40</v>
      </c>
      <c r="AB68" s="54" t="s">
        <v>331</v>
      </c>
    </row>
    <row r="69" spans="1:28" outlineLevel="1">
      <c r="A69" s="32" t="s">
        <v>311</v>
      </c>
      <c r="B69" s="32" t="s">
        <v>310</v>
      </c>
      <c r="C69" s="32" t="s">
        <v>309</v>
      </c>
      <c r="E69" s="32" t="s">
        <v>324</v>
      </c>
      <c r="F69" s="32">
        <v>-10</v>
      </c>
      <c r="G69" s="32">
        <v>30</v>
      </c>
      <c r="H69" s="45">
        <v>30</v>
      </c>
      <c r="I69" s="45">
        <v>30</v>
      </c>
      <c r="J69" s="46" t="s">
        <v>97</v>
      </c>
      <c r="K69" s="45">
        <v>30</v>
      </c>
      <c r="L69" s="45">
        <v>30</v>
      </c>
      <c r="M69" s="46">
        <v>40</v>
      </c>
      <c r="N69" s="46">
        <v>40</v>
      </c>
      <c r="O69" s="46">
        <v>40</v>
      </c>
      <c r="P69" s="46">
        <v>40</v>
      </c>
      <c r="Q69" s="46">
        <v>40</v>
      </c>
      <c r="R69" s="46">
        <v>40</v>
      </c>
      <c r="S69" s="46">
        <v>40</v>
      </c>
      <c r="T69" s="46">
        <v>40</v>
      </c>
      <c r="AA69" s="32">
        <v>50</v>
      </c>
      <c r="AB69" s="54" t="s">
        <v>331</v>
      </c>
    </row>
    <row r="70" spans="1:28" outlineLevel="1">
      <c r="A70" s="32" t="s">
        <v>311</v>
      </c>
      <c r="B70" s="32" t="s">
        <v>310</v>
      </c>
      <c r="C70" s="32" t="s">
        <v>309</v>
      </c>
      <c r="E70" s="32" t="s">
        <v>324</v>
      </c>
      <c r="F70" s="32">
        <v>-15</v>
      </c>
      <c r="G70" s="32">
        <v>30</v>
      </c>
      <c r="H70" s="45">
        <v>30</v>
      </c>
      <c r="I70" s="45">
        <v>30</v>
      </c>
      <c r="J70" s="46" t="s">
        <v>97</v>
      </c>
      <c r="K70" s="46">
        <v>40</v>
      </c>
      <c r="L70" s="46">
        <v>40</v>
      </c>
      <c r="M70" s="46">
        <v>40</v>
      </c>
      <c r="N70" s="46">
        <v>40</v>
      </c>
      <c r="O70" s="46">
        <v>40</v>
      </c>
      <c r="P70" s="46">
        <v>40</v>
      </c>
      <c r="Q70" s="46">
        <v>40</v>
      </c>
      <c r="R70" s="46">
        <v>40</v>
      </c>
      <c r="S70" s="45">
        <v>50</v>
      </c>
      <c r="T70" s="45">
        <v>50</v>
      </c>
      <c r="AA70" s="32">
        <v>50</v>
      </c>
      <c r="AB70" s="54" t="s">
        <v>331</v>
      </c>
    </row>
    <row r="71" spans="1:28" outlineLevel="1">
      <c r="A71" s="32" t="s">
        <v>311</v>
      </c>
      <c r="B71" s="32" t="s">
        <v>310</v>
      </c>
      <c r="C71" s="32" t="s">
        <v>309</v>
      </c>
      <c r="E71" s="32" t="s">
        <v>324</v>
      </c>
      <c r="F71" s="32">
        <v>-20</v>
      </c>
      <c r="G71" s="39">
        <v>30</v>
      </c>
      <c r="H71" s="46">
        <v>40</v>
      </c>
      <c r="I71" s="46">
        <v>40</v>
      </c>
      <c r="J71" s="46" t="s">
        <v>97</v>
      </c>
      <c r="K71" s="46">
        <v>40</v>
      </c>
      <c r="L71" s="46">
        <v>40</v>
      </c>
      <c r="M71" s="46">
        <v>40</v>
      </c>
      <c r="N71" s="46">
        <v>40</v>
      </c>
      <c r="O71" s="46">
        <v>40</v>
      </c>
      <c r="P71" s="45">
        <v>50</v>
      </c>
      <c r="Q71" s="45">
        <v>50</v>
      </c>
      <c r="R71" s="45">
        <v>50</v>
      </c>
      <c r="S71" s="45">
        <v>50</v>
      </c>
      <c r="T71" s="45">
        <v>50</v>
      </c>
      <c r="U71" s="39"/>
      <c r="V71" s="39"/>
      <c r="W71" s="39"/>
      <c r="X71" s="39"/>
      <c r="Y71" s="39"/>
      <c r="Z71" s="39"/>
      <c r="AA71" s="39">
        <v>65</v>
      </c>
      <c r="AB71" s="54" t="s">
        <v>331</v>
      </c>
    </row>
    <row r="72" spans="1:28" outlineLevel="1">
      <c r="A72" s="32" t="s">
        <v>311</v>
      </c>
      <c r="B72" s="32" t="s">
        <v>310</v>
      </c>
      <c r="C72" s="32" t="s">
        <v>309</v>
      </c>
      <c r="E72" s="32" t="s">
        <v>324</v>
      </c>
      <c r="F72" s="32">
        <v>-25</v>
      </c>
      <c r="G72" s="39">
        <v>40</v>
      </c>
      <c r="H72" s="46">
        <v>40</v>
      </c>
      <c r="I72" s="46">
        <v>40</v>
      </c>
      <c r="J72" s="45" t="s">
        <v>97</v>
      </c>
      <c r="K72" s="46">
        <v>40</v>
      </c>
      <c r="L72" s="46">
        <v>40</v>
      </c>
      <c r="M72" s="45">
        <v>50</v>
      </c>
      <c r="N72" s="45">
        <v>50</v>
      </c>
      <c r="O72" s="45">
        <v>50</v>
      </c>
      <c r="P72" s="45">
        <v>50</v>
      </c>
      <c r="Q72" s="45">
        <v>50</v>
      </c>
      <c r="R72" s="45">
        <v>50</v>
      </c>
      <c r="S72" s="45">
        <v>50</v>
      </c>
      <c r="T72" s="45">
        <v>50</v>
      </c>
      <c r="U72" s="39"/>
      <c r="V72" s="39"/>
      <c r="W72" s="39"/>
      <c r="X72" s="39"/>
      <c r="Y72" s="39"/>
      <c r="Z72" s="39"/>
      <c r="AA72" s="39">
        <v>65</v>
      </c>
      <c r="AB72" s="54" t="s">
        <v>331</v>
      </c>
    </row>
    <row r="73" spans="1:28" outlineLevel="1">
      <c r="A73" s="32" t="s">
        <v>311</v>
      </c>
      <c r="B73" s="32" t="s">
        <v>310</v>
      </c>
      <c r="C73" s="32" t="s">
        <v>309</v>
      </c>
      <c r="E73" s="32" t="s">
        <v>324</v>
      </c>
      <c r="F73" s="32">
        <v>-30</v>
      </c>
      <c r="G73" s="39">
        <v>40</v>
      </c>
      <c r="H73" s="46">
        <v>40</v>
      </c>
      <c r="I73" s="46">
        <v>40</v>
      </c>
      <c r="J73" s="45" t="s">
        <v>97</v>
      </c>
      <c r="K73" s="46">
        <v>40</v>
      </c>
      <c r="L73" s="45">
        <v>50</v>
      </c>
      <c r="M73" s="45">
        <v>50</v>
      </c>
      <c r="N73" s="45">
        <v>50</v>
      </c>
      <c r="O73" s="45">
        <v>50</v>
      </c>
      <c r="P73" s="45">
        <v>50</v>
      </c>
      <c r="Q73" s="45">
        <v>50</v>
      </c>
      <c r="R73" s="39">
        <v>65</v>
      </c>
      <c r="S73" s="39">
        <v>65</v>
      </c>
      <c r="T73" s="39">
        <v>65</v>
      </c>
      <c r="U73" s="39"/>
      <c r="V73" s="39"/>
      <c r="W73" s="39"/>
      <c r="X73" s="39"/>
      <c r="Y73" s="39"/>
      <c r="Z73" s="39"/>
      <c r="AA73" s="39">
        <v>65</v>
      </c>
      <c r="AB73" s="54" t="s">
        <v>331</v>
      </c>
    </row>
    <row r="74" spans="1:28" outlineLevel="1">
      <c r="A74" s="32" t="s">
        <v>311</v>
      </c>
      <c r="B74" s="32" t="s">
        <v>310</v>
      </c>
      <c r="C74" s="32" t="s">
        <v>309</v>
      </c>
      <c r="E74" s="32" t="s">
        <v>324</v>
      </c>
      <c r="F74" s="32">
        <v>-35</v>
      </c>
      <c r="G74" s="39">
        <v>40</v>
      </c>
      <c r="H74" s="46">
        <v>40</v>
      </c>
      <c r="I74" s="46">
        <v>40</v>
      </c>
      <c r="J74" s="45" t="s">
        <v>97</v>
      </c>
      <c r="K74" s="45">
        <v>50</v>
      </c>
      <c r="L74" s="45">
        <v>50</v>
      </c>
      <c r="M74" s="45">
        <v>50</v>
      </c>
      <c r="N74" s="45">
        <v>50</v>
      </c>
      <c r="O74" s="39">
        <v>65</v>
      </c>
      <c r="P74" s="39">
        <v>65</v>
      </c>
      <c r="Q74" s="39">
        <v>65</v>
      </c>
      <c r="R74" s="32">
        <v>65</v>
      </c>
      <c r="S74" s="39">
        <v>65</v>
      </c>
      <c r="T74" s="39">
        <v>65</v>
      </c>
      <c r="U74" s="39"/>
      <c r="V74" s="39"/>
      <c r="W74" s="39"/>
      <c r="X74" s="39"/>
      <c r="Y74" s="39"/>
      <c r="Z74" s="39"/>
      <c r="AA74" s="39">
        <v>75</v>
      </c>
      <c r="AB74" s="54" t="s">
        <v>331</v>
      </c>
    </row>
    <row r="75" spans="1:28" outlineLevel="1">
      <c r="A75" s="32" t="s">
        <v>311</v>
      </c>
      <c r="B75" s="32" t="s">
        <v>310</v>
      </c>
      <c r="C75" s="32" t="s">
        <v>309</v>
      </c>
      <c r="E75" s="32" t="s">
        <v>324</v>
      </c>
      <c r="F75" s="32">
        <v>-40</v>
      </c>
      <c r="G75" s="39">
        <v>40</v>
      </c>
      <c r="H75" s="45">
        <v>50</v>
      </c>
      <c r="I75" s="45">
        <v>50</v>
      </c>
      <c r="J75" s="39" t="s">
        <v>97</v>
      </c>
      <c r="K75" s="45">
        <v>50</v>
      </c>
      <c r="L75" s="45">
        <v>50</v>
      </c>
      <c r="M75" s="45">
        <v>50</v>
      </c>
      <c r="N75" s="39">
        <v>65</v>
      </c>
      <c r="O75" s="32">
        <v>65</v>
      </c>
      <c r="P75" s="32">
        <v>65</v>
      </c>
      <c r="Q75" s="32">
        <v>65</v>
      </c>
      <c r="R75" s="32">
        <v>65</v>
      </c>
      <c r="S75" s="39">
        <v>65</v>
      </c>
      <c r="T75" s="39">
        <v>65</v>
      </c>
      <c r="U75" s="39"/>
      <c r="V75" s="39"/>
      <c r="W75" s="39"/>
      <c r="X75" s="39"/>
      <c r="Y75" s="39"/>
      <c r="Z75" s="39"/>
      <c r="AA75" s="39">
        <v>75</v>
      </c>
      <c r="AB75" s="54" t="s">
        <v>331</v>
      </c>
    </row>
    <row r="76" spans="1:28" outlineLevel="1">
      <c r="A76" s="32" t="s">
        <v>311</v>
      </c>
      <c r="B76" s="32" t="s">
        <v>310</v>
      </c>
      <c r="C76" s="32" t="s">
        <v>309</v>
      </c>
      <c r="E76" s="32" t="s">
        <v>324</v>
      </c>
      <c r="F76" s="32">
        <v>-45</v>
      </c>
      <c r="G76" s="39">
        <v>50</v>
      </c>
      <c r="H76" s="45">
        <v>50</v>
      </c>
      <c r="I76" s="45">
        <v>50</v>
      </c>
      <c r="J76" s="32" t="s">
        <v>97</v>
      </c>
      <c r="K76" s="45">
        <v>50</v>
      </c>
      <c r="L76" s="39">
        <v>65</v>
      </c>
      <c r="M76" s="39">
        <v>65</v>
      </c>
      <c r="N76" s="32">
        <v>65</v>
      </c>
      <c r="O76" s="32">
        <v>65</v>
      </c>
      <c r="P76" s="32">
        <v>65</v>
      </c>
      <c r="Q76" s="32">
        <v>65</v>
      </c>
      <c r="R76" s="32">
        <v>65</v>
      </c>
      <c r="S76" s="39">
        <v>75</v>
      </c>
      <c r="T76" s="39">
        <v>75</v>
      </c>
      <c r="U76" s="39"/>
      <c r="V76" s="39"/>
      <c r="W76" s="39"/>
      <c r="X76" s="39"/>
      <c r="Y76" s="39"/>
      <c r="Z76" s="39"/>
      <c r="AA76" s="39">
        <v>100</v>
      </c>
      <c r="AB76" s="54" t="s">
        <v>331</v>
      </c>
    </row>
    <row r="77" spans="1:28" outlineLevel="1">
      <c r="A77" s="32" t="s">
        <v>311</v>
      </c>
      <c r="B77" s="32" t="s">
        <v>310</v>
      </c>
      <c r="C77" s="32" t="s">
        <v>309</v>
      </c>
      <c r="E77" s="32" t="s">
        <v>324</v>
      </c>
      <c r="F77" s="32">
        <v>-50</v>
      </c>
      <c r="G77" s="39">
        <v>50</v>
      </c>
      <c r="H77" s="45">
        <v>50</v>
      </c>
      <c r="I77" s="45">
        <v>50</v>
      </c>
      <c r="J77" s="32" t="s">
        <v>97</v>
      </c>
      <c r="K77" s="39">
        <v>65</v>
      </c>
      <c r="L77" s="32">
        <v>65</v>
      </c>
      <c r="M77" s="32">
        <v>65</v>
      </c>
      <c r="N77" s="32">
        <v>65</v>
      </c>
      <c r="O77" s="32">
        <v>65</v>
      </c>
      <c r="P77" s="32">
        <v>65</v>
      </c>
      <c r="Q77" s="32">
        <v>65</v>
      </c>
      <c r="R77" s="32">
        <v>75</v>
      </c>
      <c r="S77" s="39">
        <v>75</v>
      </c>
      <c r="T77" s="39">
        <v>75</v>
      </c>
      <c r="U77" s="39"/>
      <c r="V77" s="39"/>
      <c r="W77" s="39"/>
      <c r="X77" s="39"/>
      <c r="Y77" s="39"/>
      <c r="Z77" s="39"/>
      <c r="AA77" s="39">
        <v>100</v>
      </c>
      <c r="AB77" s="54" t="s">
        <v>331</v>
      </c>
    </row>
    <row r="78" spans="1:28" outlineLevel="1">
      <c r="A78" s="32" t="s">
        <v>311</v>
      </c>
      <c r="B78" s="32" t="s">
        <v>310</v>
      </c>
      <c r="C78" s="32" t="s">
        <v>309</v>
      </c>
      <c r="E78" s="32" t="s">
        <v>324</v>
      </c>
      <c r="F78" s="32">
        <v>-55</v>
      </c>
      <c r="G78" s="39">
        <v>50</v>
      </c>
      <c r="H78" s="45">
        <v>50</v>
      </c>
      <c r="I78" s="45">
        <v>50</v>
      </c>
      <c r="J78" s="32" t="s">
        <v>97</v>
      </c>
      <c r="K78" s="32">
        <v>65</v>
      </c>
      <c r="L78" s="32">
        <v>65</v>
      </c>
      <c r="M78" s="32">
        <v>65</v>
      </c>
      <c r="N78" s="32">
        <v>65</v>
      </c>
      <c r="O78" s="32">
        <v>65</v>
      </c>
      <c r="P78" s="32">
        <v>75</v>
      </c>
      <c r="Q78" s="32">
        <v>75</v>
      </c>
      <c r="R78" s="32">
        <v>75</v>
      </c>
      <c r="S78" s="39">
        <v>75</v>
      </c>
      <c r="T78" s="32">
        <v>100</v>
      </c>
      <c r="AA78" s="39">
        <v>100</v>
      </c>
      <c r="AB78" s="54" t="s">
        <v>331</v>
      </c>
    </row>
    <row r="79" spans="1:28" outlineLevel="1">
      <c r="A79" s="32" t="s">
        <v>311</v>
      </c>
      <c r="B79" s="32" t="s">
        <v>310</v>
      </c>
      <c r="C79" s="32" t="s">
        <v>309</v>
      </c>
      <c r="E79" s="32" t="s">
        <v>324</v>
      </c>
      <c r="F79" s="32">
        <v>-60</v>
      </c>
      <c r="G79" s="39">
        <v>50</v>
      </c>
      <c r="H79" s="45">
        <v>50</v>
      </c>
      <c r="I79" s="45">
        <v>65</v>
      </c>
      <c r="J79" s="32" t="s">
        <v>97</v>
      </c>
      <c r="K79" s="32">
        <v>65</v>
      </c>
      <c r="L79" s="32">
        <v>65</v>
      </c>
      <c r="M79" s="32">
        <v>65</v>
      </c>
      <c r="N79" s="32">
        <v>65</v>
      </c>
      <c r="O79" s="32">
        <v>75</v>
      </c>
      <c r="P79" s="32">
        <v>75</v>
      </c>
      <c r="Q79" s="32">
        <v>75</v>
      </c>
      <c r="R79" s="32">
        <v>100</v>
      </c>
      <c r="S79" s="32">
        <v>100</v>
      </c>
      <c r="T79" s="32">
        <v>100</v>
      </c>
      <c r="AA79" s="39">
        <v>100</v>
      </c>
      <c r="AB79" s="54" t="s">
        <v>331</v>
      </c>
    </row>
    <row r="80" spans="1:28" outlineLevel="1">
      <c r="A80" s="32" t="s">
        <v>311</v>
      </c>
      <c r="B80" s="32" t="s">
        <v>310</v>
      </c>
      <c r="C80" s="32" t="s">
        <v>309</v>
      </c>
      <c r="E80" s="32" t="s">
        <v>324</v>
      </c>
      <c r="F80" s="32">
        <v>-65</v>
      </c>
      <c r="G80" s="39">
        <v>50</v>
      </c>
      <c r="H80" s="45">
        <v>65</v>
      </c>
      <c r="I80" s="45">
        <v>65</v>
      </c>
      <c r="J80" s="32" t="s">
        <v>97</v>
      </c>
      <c r="K80" s="32">
        <v>65</v>
      </c>
      <c r="L80" s="32">
        <v>65</v>
      </c>
      <c r="M80" s="32">
        <v>65</v>
      </c>
      <c r="N80" s="32">
        <v>75</v>
      </c>
      <c r="O80" s="32">
        <v>75</v>
      </c>
      <c r="P80" s="32">
        <v>75</v>
      </c>
      <c r="Q80" s="47">
        <v>100</v>
      </c>
      <c r="R80" s="32">
        <v>100</v>
      </c>
      <c r="S80" s="32">
        <v>100</v>
      </c>
      <c r="T80" s="32">
        <v>100</v>
      </c>
      <c r="AA80" s="32">
        <v>125</v>
      </c>
      <c r="AB80" s="54" t="s">
        <v>331</v>
      </c>
    </row>
    <row r="81" spans="1:29" outlineLevel="1">
      <c r="A81" s="32" t="s">
        <v>311</v>
      </c>
      <c r="B81" s="32" t="s">
        <v>310</v>
      </c>
      <c r="C81" s="32" t="s">
        <v>309</v>
      </c>
      <c r="E81" s="32" t="s">
        <v>324</v>
      </c>
      <c r="F81" s="32">
        <v>-70</v>
      </c>
      <c r="G81" s="32">
        <v>65</v>
      </c>
      <c r="H81" s="45">
        <v>65</v>
      </c>
      <c r="I81" s="45">
        <v>65</v>
      </c>
      <c r="J81" s="32" t="s">
        <v>97</v>
      </c>
      <c r="K81" s="32">
        <v>65</v>
      </c>
      <c r="L81" s="32">
        <v>65</v>
      </c>
      <c r="M81" s="48">
        <v>75</v>
      </c>
      <c r="N81" s="32">
        <v>75</v>
      </c>
      <c r="O81" s="32">
        <v>75</v>
      </c>
      <c r="P81" s="47">
        <v>100</v>
      </c>
      <c r="Q81" s="47">
        <v>100</v>
      </c>
      <c r="R81" s="32">
        <v>100</v>
      </c>
      <c r="S81" s="32">
        <v>100</v>
      </c>
      <c r="T81" s="32">
        <v>100</v>
      </c>
      <c r="AA81" s="32">
        <v>125</v>
      </c>
      <c r="AB81" s="54" t="s">
        <v>331</v>
      </c>
    </row>
    <row r="82" spans="1:29" outlineLevel="1">
      <c r="A82" s="32" t="s">
        <v>311</v>
      </c>
      <c r="B82" s="32" t="s">
        <v>310</v>
      </c>
      <c r="C82" s="32" t="s">
        <v>309</v>
      </c>
      <c r="E82" s="32" t="s">
        <v>324</v>
      </c>
      <c r="F82" s="32">
        <v>-75</v>
      </c>
      <c r="G82" s="32">
        <v>65</v>
      </c>
      <c r="H82" s="45">
        <v>65</v>
      </c>
      <c r="I82" s="45">
        <v>65</v>
      </c>
      <c r="J82" s="32" t="s">
        <v>97</v>
      </c>
      <c r="K82" s="32">
        <v>65</v>
      </c>
      <c r="L82" s="48">
        <v>75</v>
      </c>
      <c r="M82" s="47">
        <v>75</v>
      </c>
      <c r="N82" s="32">
        <v>75</v>
      </c>
      <c r="O82" s="47">
        <v>100</v>
      </c>
      <c r="P82" s="47">
        <v>100</v>
      </c>
      <c r="Q82" s="47">
        <v>100</v>
      </c>
      <c r="R82" s="32">
        <v>100</v>
      </c>
      <c r="S82" s="32">
        <v>100</v>
      </c>
      <c r="T82" s="32">
        <v>100</v>
      </c>
      <c r="AA82" s="32">
        <v>125</v>
      </c>
      <c r="AB82" s="54" t="s">
        <v>331</v>
      </c>
    </row>
    <row r="83" spans="1:29" outlineLevel="1">
      <c r="A83" s="32" t="s">
        <v>311</v>
      </c>
      <c r="B83" s="32" t="s">
        <v>310</v>
      </c>
      <c r="C83" s="32" t="s">
        <v>309</v>
      </c>
      <c r="E83" s="32" t="s">
        <v>324</v>
      </c>
      <c r="F83" s="32">
        <v>-80</v>
      </c>
      <c r="G83" s="32">
        <v>65</v>
      </c>
      <c r="H83" s="45">
        <v>65</v>
      </c>
      <c r="I83" s="45">
        <v>65</v>
      </c>
      <c r="J83" s="48" t="s">
        <v>97</v>
      </c>
      <c r="K83" s="48">
        <v>75</v>
      </c>
      <c r="L83" s="47">
        <v>75</v>
      </c>
      <c r="M83" s="47">
        <v>75</v>
      </c>
      <c r="N83" s="48">
        <v>100</v>
      </c>
      <c r="O83" s="47">
        <v>100</v>
      </c>
      <c r="P83" s="47">
        <v>100</v>
      </c>
      <c r="Q83" s="47">
        <v>100</v>
      </c>
      <c r="R83" s="32">
        <v>100</v>
      </c>
      <c r="S83" s="32">
        <v>100</v>
      </c>
      <c r="T83" s="32">
        <v>100</v>
      </c>
      <c r="AA83" s="32">
        <v>125</v>
      </c>
      <c r="AB83" s="54" t="s">
        <v>331</v>
      </c>
    </row>
    <row r="84" spans="1:29" outlineLevel="1">
      <c r="A84" s="32" t="s">
        <v>311</v>
      </c>
      <c r="B84" s="32" t="s">
        <v>310</v>
      </c>
      <c r="C84" s="32" t="s">
        <v>309</v>
      </c>
      <c r="E84" s="32" t="s">
        <v>324</v>
      </c>
      <c r="F84" s="32">
        <v>-85</v>
      </c>
      <c r="G84" s="32">
        <v>65</v>
      </c>
      <c r="H84" s="45">
        <v>65</v>
      </c>
      <c r="I84" s="45">
        <v>65</v>
      </c>
      <c r="J84" s="47" t="s">
        <v>97</v>
      </c>
      <c r="K84" s="47">
        <v>75</v>
      </c>
      <c r="L84" s="47">
        <v>75</v>
      </c>
      <c r="M84" s="47">
        <v>100</v>
      </c>
      <c r="N84" s="47">
        <v>100</v>
      </c>
      <c r="O84" s="47">
        <v>100</v>
      </c>
      <c r="P84" s="47">
        <v>100</v>
      </c>
      <c r="Q84" s="47">
        <v>100</v>
      </c>
      <c r="R84" s="32">
        <v>100</v>
      </c>
      <c r="S84" s="32">
        <v>100</v>
      </c>
      <c r="T84" s="32">
        <v>100</v>
      </c>
      <c r="AA84" s="32">
        <v>125</v>
      </c>
      <c r="AB84" s="54" t="s">
        <v>331</v>
      </c>
    </row>
    <row r="85" spans="1:29" outlineLevel="1">
      <c r="A85" s="32" t="s">
        <v>311</v>
      </c>
      <c r="B85" s="32" t="s">
        <v>310</v>
      </c>
      <c r="C85" s="32" t="s">
        <v>309</v>
      </c>
      <c r="E85" s="32" t="s">
        <v>324</v>
      </c>
      <c r="F85" s="32">
        <v>-90</v>
      </c>
      <c r="G85" s="32">
        <v>65</v>
      </c>
      <c r="H85" s="45">
        <v>65</v>
      </c>
      <c r="I85" s="48">
        <v>75</v>
      </c>
      <c r="J85" s="47" t="s">
        <v>97</v>
      </c>
      <c r="K85" s="47">
        <v>75</v>
      </c>
      <c r="L85" s="47">
        <v>75</v>
      </c>
      <c r="M85" s="47">
        <v>100</v>
      </c>
      <c r="N85" s="47">
        <v>100</v>
      </c>
      <c r="O85" s="47">
        <v>100</v>
      </c>
      <c r="P85" s="47">
        <v>100</v>
      </c>
      <c r="Q85" s="47">
        <v>100</v>
      </c>
      <c r="R85" s="32">
        <v>100</v>
      </c>
      <c r="S85" s="32">
        <v>100</v>
      </c>
      <c r="T85" s="48">
        <v>125</v>
      </c>
      <c r="AA85" s="47">
        <v>140</v>
      </c>
      <c r="AB85" s="54" t="s">
        <v>331</v>
      </c>
    </row>
    <row r="86" spans="1:29" outlineLevel="1">
      <c r="A86" s="32" t="s">
        <v>311</v>
      </c>
      <c r="B86" s="32" t="s">
        <v>310</v>
      </c>
      <c r="C86" s="32" t="s">
        <v>309</v>
      </c>
      <c r="E86" s="32" t="s">
        <v>324</v>
      </c>
      <c r="F86" s="32">
        <v>-95</v>
      </c>
      <c r="G86" s="32">
        <v>65</v>
      </c>
      <c r="H86" s="45">
        <v>65</v>
      </c>
      <c r="I86" s="47">
        <v>75</v>
      </c>
      <c r="J86" s="47" t="s">
        <v>97</v>
      </c>
      <c r="K86" s="47">
        <v>75</v>
      </c>
      <c r="L86" s="47">
        <v>100</v>
      </c>
      <c r="M86" s="47">
        <v>100</v>
      </c>
      <c r="N86" s="47">
        <v>100</v>
      </c>
      <c r="O86" s="47">
        <v>100</v>
      </c>
      <c r="P86" s="47">
        <v>100</v>
      </c>
      <c r="Q86" s="47">
        <v>100</v>
      </c>
      <c r="R86" s="32">
        <v>100</v>
      </c>
      <c r="S86" s="48">
        <v>125</v>
      </c>
      <c r="T86" s="48">
        <v>125</v>
      </c>
      <c r="AA86" s="47">
        <v>140</v>
      </c>
      <c r="AB86" s="54" t="s">
        <v>331</v>
      </c>
    </row>
    <row r="87" spans="1:29" outlineLevel="1">
      <c r="A87" s="32" t="s">
        <v>311</v>
      </c>
      <c r="B87" s="32" t="s">
        <v>310</v>
      </c>
      <c r="C87" s="32" t="s">
        <v>309</v>
      </c>
      <c r="E87" s="32" t="s">
        <v>324</v>
      </c>
      <c r="F87" s="32">
        <v>-100</v>
      </c>
      <c r="G87" s="32">
        <v>65</v>
      </c>
      <c r="H87" s="49">
        <v>75</v>
      </c>
      <c r="I87" s="47">
        <v>75</v>
      </c>
      <c r="J87" s="47" t="s">
        <v>97</v>
      </c>
      <c r="K87" s="47">
        <v>75</v>
      </c>
      <c r="L87" s="47">
        <v>100</v>
      </c>
      <c r="M87" s="47">
        <v>100</v>
      </c>
      <c r="N87" s="47">
        <v>100</v>
      </c>
      <c r="O87" s="47">
        <v>100</v>
      </c>
      <c r="P87" s="47">
        <v>100</v>
      </c>
      <c r="Q87" s="47">
        <v>100</v>
      </c>
      <c r="R87" s="48">
        <v>125</v>
      </c>
      <c r="S87" s="48">
        <v>125</v>
      </c>
      <c r="T87" s="48">
        <v>125</v>
      </c>
      <c r="AA87" s="47">
        <v>140</v>
      </c>
      <c r="AB87" s="54" t="s">
        <v>331</v>
      </c>
    </row>
    <row r="88" spans="1:29" outlineLevel="1">
      <c r="A88" s="54" t="s">
        <v>331</v>
      </c>
      <c r="B88" s="54" t="s">
        <v>331</v>
      </c>
      <c r="C88" s="54" t="s">
        <v>331</v>
      </c>
      <c r="D88" s="54" t="s">
        <v>331</v>
      </c>
      <c r="E88" s="54" t="s">
        <v>331</v>
      </c>
      <c r="F88" s="54" t="s">
        <v>331</v>
      </c>
      <c r="G88" s="54" t="s">
        <v>331</v>
      </c>
      <c r="H88" s="56" t="s">
        <v>331</v>
      </c>
      <c r="I88" s="55" t="s">
        <v>331</v>
      </c>
      <c r="J88" s="55" t="s">
        <v>331</v>
      </c>
      <c r="K88" s="55" t="s">
        <v>331</v>
      </c>
      <c r="L88" s="55" t="s">
        <v>331</v>
      </c>
      <c r="M88" s="55" t="s">
        <v>331</v>
      </c>
      <c r="N88" s="55" t="s">
        <v>331</v>
      </c>
      <c r="O88" s="55" t="s">
        <v>331</v>
      </c>
      <c r="P88" s="55" t="s">
        <v>331</v>
      </c>
      <c r="Q88" s="55" t="s">
        <v>331</v>
      </c>
      <c r="R88" s="55" t="s">
        <v>331</v>
      </c>
      <c r="S88" s="55" t="s">
        <v>331</v>
      </c>
      <c r="T88" s="55" t="s">
        <v>331</v>
      </c>
      <c r="U88" s="54" t="s">
        <v>331</v>
      </c>
      <c r="V88" s="54" t="s">
        <v>331</v>
      </c>
      <c r="W88" s="54" t="s">
        <v>331</v>
      </c>
      <c r="X88" s="54" t="s">
        <v>331</v>
      </c>
      <c r="Y88" s="54" t="s">
        <v>331</v>
      </c>
      <c r="Z88" s="54" t="s">
        <v>331</v>
      </c>
      <c r="AA88" s="55" t="s">
        <v>331</v>
      </c>
      <c r="AB88" s="54" t="s">
        <v>331</v>
      </c>
    </row>
    <row r="89" spans="1:29" s="53" customFormat="1">
      <c r="A89" s="33" t="s">
        <v>308</v>
      </c>
      <c r="B89" s="33"/>
      <c r="C89" s="33"/>
      <c r="D89" s="33"/>
      <c r="E89" s="33"/>
      <c r="F89" s="33"/>
      <c r="G89" s="33"/>
      <c r="H89" s="35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3"/>
      <c r="V89" s="33"/>
      <c r="W89" s="33"/>
      <c r="X89" s="33"/>
      <c r="Y89" s="33"/>
      <c r="Z89" s="33"/>
      <c r="AA89" s="34"/>
      <c r="AB89" s="54" t="s">
        <v>331</v>
      </c>
    </row>
    <row r="90" spans="1:29">
      <c r="H90" s="45"/>
      <c r="AB90" s="54" t="s">
        <v>331</v>
      </c>
    </row>
    <row r="91" spans="1:29" outlineLevel="1">
      <c r="A91" s="36" t="s">
        <v>307</v>
      </c>
      <c r="B91" s="36" t="s">
        <v>332</v>
      </c>
      <c r="C91" s="36" t="s">
        <v>304</v>
      </c>
      <c r="D91" s="36"/>
      <c r="E91" s="36" t="s">
        <v>325</v>
      </c>
      <c r="F91" s="36">
        <v>30</v>
      </c>
      <c r="G91" s="40">
        <v>6.2E-2</v>
      </c>
      <c r="H91" s="36">
        <v>6.6000000000000003E-2</v>
      </c>
      <c r="I91" s="36">
        <v>7.0999999999999994E-2</v>
      </c>
      <c r="J91" s="36"/>
      <c r="K91" s="36">
        <v>8.3000000000000004E-2</v>
      </c>
      <c r="L91" s="36">
        <v>0.09</v>
      </c>
      <c r="M91" s="36">
        <v>0.10199999999999999</v>
      </c>
      <c r="N91" s="36">
        <v>0.111</v>
      </c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B91" s="58" t="s">
        <v>331</v>
      </c>
      <c r="AC91" s="36"/>
    </row>
    <row r="92" spans="1:29" outlineLevel="1">
      <c r="A92" s="36" t="s">
        <v>307</v>
      </c>
      <c r="B92" s="36" t="s">
        <v>332</v>
      </c>
      <c r="C92" s="36" t="s">
        <v>304</v>
      </c>
      <c r="D92" s="36"/>
      <c r="E92" s="36" t="s">
        <v>325</v>
      </c>
      <c r="F92" s="36">
        <v>40</v>
      </c>
      <c r="G92" s="36">
        <v>7.5999999999999998E-2</v>
      </c>
      <c r="H92" s="36">
        <v>0.08</v>
      </c>
      <c r="I92" s="36">
        <v>8.5000000000000006E-2</v>
      </c>
      <c r="J92" s="36"/>
      <c r="K92" s="36">
        <v>9.7000000000000003E-2</v>
      </c>
      <c r="L92" s="36">
        <v>0.106</v>
      </c>
      <c r="M92" s="36">
        <v>0.11799999999999999</v>
      </c>
      <c r="N92" s="36">
        <v>0.127</v>
      </c>
      <c r="O92" s="36">
        <v>0.14599999999999999</v>
      </c>
      <c r="P92" s="36">
        <v>0.16500000000000001</v>
      </c>
      <c r="Q92" s="36">
        <v>0.184</v>
      </c>
      <c r="S92" s="36"/>
      <c r="T92" s="36"/>
      <c r="U92" s="36"/>
      <c r="V92" s="36"/>
      <c r="W92" s="36"/>
      <c r="X92" s="36"/>
      <c r="Y92" s="36"/>
      <c r="Z92" s="36"/>
      <c r="AA92" s="36">
        <v>0.23499999999999999</v>
      </c>
      <c r="AB92" s="58" t="s">
        <v>331</v>
      </c>
      <c r="AC92" s="36"/>
    </row>
    <row r="93" spans="1:29" outlineLevel="1">
      <c r="A93" s="36" t="s">
        <v>307</v>
      </c>
      <c r="B93" s="36" t="s">
        <v>332</v>
      </c>
      <c r="C93" s="36" t="s">
        <v>304</v>
      </c>
      <c r="D93" s="36"/>
      <c r="E93" s="36" t="s">
        <v>325</v>
      </c>
      <c r="F93" s="36">
        <v>50</v>
      </c>
      <c r="G93" s="36">
        <v>9.1999999999999998E-2</v>
      </c>
      <c r="H93" s="36">
        <v>9.4E-2</v>
      </c>
      <c r="I93" s="36">
        <v>0.10199999999999999</v>
      </c>
      <c r="J93" s="36"/>
      <c r="K93" s="36">
        <v>0.111</v>
      </c>
      <c r="L93" s="36">
        <v>0.12</v>
      </c>
      <c r="M93" s="36">
        <v>0.13200000000000001</v>
      </c>
      <c r="N93" s="36">
        <v>0.14099999999999999</v>
      </c>
      <c r="O93" s="36">
        <v>0.16</v>
      </c>
      <c r="P93" s="36">
        <v>0.17899999999999999</v>
      </c>
      <c r="Q93" s="36">
        <v>0.19800000000000001</v>
      </c>
      <c r="R93" s="36">
        <v>0.23499999999999999</v>
      </c>
      <c r="S93" s="36">
        <v>0.27300000000000002</v>
      </c>
      <c r="T93" s="36">
        <v>0.311</v>
      </c>
      <c r="U93" s="36"/>
      <c r="V93" s="36"/>
      <c r="W93" s="36"/>
      <c r="X93" s="36"/>
      <c r="Y93" s="36"/>
      <c r="Z93" s="36"/>
      <c r="AA93" s="36">
        <v>0.23499999999999999</v>
      </c>
      <c r="AB93" s="58" t="s">
        <v>331</v>
      </c>
      <c r="AC93" s="36"/>
    </row>
    <row r="94" spans="1:29" outlineLevel="1">
      <c r="A94" s="36" t="s">
        <v>307</v>
      </c>
      <c r="B94" s="36" t="s">
        <v>332</v>
      </c>
      <c r="C94" s="36" t="s">
        <v>304</v>
      </c>
      <c r="D94" s="36"/>
      <c r="E94" s="36" t="s">
        <v>325</v>
      </c>
      <c r="F94" s="36">
        <v>65</v>
      </c>
      <c r="G94" s="36">
        <v>0.113</v>
      </c>
      <c r="H94" s="36">
        <v>0.11799999999999999</v>
      </c>
      <c r="I94" s="36">
        <v>0.12</v>
      </c>
      <c r="J94" s="36"/>
      <c r="K94" s="36">
        <v>0.13400000000000001</v>
      </c>
      <c r="L94" s="36">
        <v>0.14099999999999999</v>
      </c>
      <c r="M94" s="36">
        <v>0.153</v>
      </c>
      <c r="N94" s="36">
        <v>0.16300000000000001</v>
      </c>
      <c r="O94" s="36">
        <v>0.18099999999999999</v>
      </c>
      <c r="P94" s="36">
        <v>0.2</v>
      </c>
      <c r="Q94" s="36">
        <v>0.219</v>
      </c>
      <c r="R94" s="36">
        <v>0.25700000000000001</v>
      </c>
      <c r="S94" s="36">
        <v>0.29399999999999998</v>
      </c>
      <c r="T94" s="36">
        <v>0.33200000000000002</v>
      </c>
      <c r="U94" s="36"/>
      <c r="V94" s="36"/>
      <c r="W94" s="36"/>
      <c r="X94" s="36"/>
      <c r="Y94" s="36"/>
      <c r="Z94" s="36"/>
      <c r="AA94" s="36">
        <v>0.23499999999999999</v>
      </c>
      <c r="AB94" s="58" t="s">
        <v>331</v>
      </c>
      <c r="AC94" s="36"/>
    </row>
    <row r="95" spans="1:29" outlineLevel="1">
      <c r="A95" s="36" t="s">
        <v>307</v>
      </c>
      <c r="B95" s="36" t="s">
        <v>332</v>
      </c>
      <c r="C95" s="36" t="s">
        <v>304</v>
      </c>
      <c r="D95" s="36"/>
      <c r="E95" s="36" t="s">
        <v>325</v>
      </c>
      <c r="F95" s="36">
        <v>75</v>
      </c>
      <c r="G95" s="37">
        <v>0.127</v>
      </c>
      <c r="H95" s="36">
        <v>0.13200000000000001</v>
      </c>
      <c r="I95" s="36">
        <v>0.13400000000000001</v>
      </c>
      <c r="J95" s="36"/>
      <c r="K95" s="36">
        <v>0.14899999999999999</v>
      </c>
      <c r="L95" s="36">
        <v>0.158</v>
      </c>
      <c r="M95" s="36">
        <v>0.17</v>
      </c>
      <c r="N95" s="36">
        <v>0.17899999999999999</v>
      </c>
      <c r="O95" s="36">
        <v>0.19800000000000001</v>
      </c>
      <c r="P95" s="36">
        <v>0.217</v>
      </c>
      <c r="Q95" s="36">
        <v>0.23499999999999999</v>
      </c>
      <c r="R95" s="36">
        <v>0.27100000000000002</v>
      </c>
      <c r="S95" s="36">
        <v>0.308</v>
      </c>
      <c r="T95" s="36">
        <v>0.34599999999999997</v>
      </c>
      <c r="U95" s="36"/>
      <c r="V95" s="36"/>
      <c r="W95" s="36"/>
      <c r="X95" s="36"/>
      <c r="Y95" s="36"/>
      <c r="Z95" s="36"/>
      <c r="AA95" s="36">
        <v>0.23499999999999999</v>
      </c>
      <c r="AB95" s="58" t="s">
        <v>331</v>
      </c>
      <c r="AC95" s="36"/>
    </row>
    <row r="96" spans="1:29" outlineLevel="1">
      <c r="A96" s="36" t="s">
        <v>307</v>
      </c>
      <c r="B96" s="36" t="s">
        <v>332</v>
      </c>
      <c r="C96" s="36" t="s">
        <v>304</v>
      </c>
      <c r="D96" s="36"/>
      <c r="E96" s="36" t="s">
        <v>325</v>
      </c>
      <c r="F96" s="36">
        <v>85</v>
      </c>
      <c r="G96" s="38">
        <v>0.14000000000000001</v>
      </c>
      <c r="H96" s="37">
        <v>0.14599999999999999</v>
      </c>
      <c r="I96" s="37">
        <v>0.14899999999999999</v>
      </c>
      <c r="J96" s="37"/>
      <c r="K96" s="37">
        <v>0.16500000000000001</v>
      </c>
      <c r="L96" s="36"/>
      <c r="M96" s="36"/>
      <c r="O96" s="36"/>
      <c r="P96" s="36"/>
      <c r="Q96" s="36"/>
      <c r="S96" s="36"/>
      <c r="T96" s="36"/>
      <c r="U96" s="36"/>
      <c r="V96" s="36"/>
      <c r="W96" s="36"/>
      <c r="X96" s="36"/>
      <c r="Y96" s="36"/>
      <c r="Z96" s="36"/>
      <c r="AA96" s="36"/>
      <c r="AB96" s="58" t="s">
        <v>331</v>
      </c>
      <c r="AC96" s="36"/>
    </row>
    <row r="97" spans="1:29" outlineLevel="1">
      <c r="A97" s="36" t="s">
        <v>307</v>
      </c>
      <c r="B97" s="36" t="s">
        <v>332</v>
      </c>
      <c r="C97" s="36" t="s">
        <v>304</v>
      </c>
      <c r="D97" s="36"/>
      <c r="E97" s="36" t="s">
        <v>325</v>
      </c>
      <c r="F97" s="36">
        <v>100</v>
      </c>
      <c r="G97" s="38">
        <v>0.16</v>
      </c>
      <c r="H97" s="38">
        <v>0.16700000000000001</v>
      </c>
      <c r="I97" s="38">
        <v>0.16900000000000001</v>
      </c>
      <c r="J97" s="38"/>
      <c r="K97" s="38">
        <v>0.188</v>
      </c>
      <c r="L97" s="37">
        <v>0.19900000000000001</v>
      </c>
      <c r="M97" s="36">
        <v>0.214</v>
      </c>
      <c r="N97" s="36">
        <v>0.253</v>
      </c>
      <c r="O97" s="36">
        <v>0.27500000000000002</v>
      </c>
      <c r="P97" s="36">
        <v>0.29699999999999999</v>
      </c>
      <c r="Q97" s="36">
        <v>0.32</v>
      </c>
      <c r="R97" s="36">
        <v>0.36399999999999999</v>
      </c>
      <c r="S97" s="36">
        <v>0.40799999999999997</v>
      </c>
      <c r="T97" s="36">
        <v>0.45300000000000001</v>
      </c>
      <c r="U97" s="36"/>
      <c r="V97" s="36"/>
      <c r="W97" s="36"/>
      <c r="X97" s="36"/>
      <c r="Y97" s="36"/>
      <c r="Z97" s="36"/>
      <c r="AA97" s="36">
        <v>0.27800000000000002</v>
      </c>
      <c r="AB97" s="58" t="s">
        <v>331</v>
      </c>
      <c r="AC97" s="36"/>
    </row>
    <row r="98" spans="1:29" outlineLevel="1">
      <c r="A98" s="36" t="s">
        <v>307</v>
      </c>
      <c r="B98" s="36" t="s">
        <v>332</v>
      </c>
      <c r="C98" s="36" t="s">
        <v>304</v>
      </c>
      <c r="D98" s="36"/>
      <c r="E98" s="36" t="s">
        <v>325</v>
      </c>
      <c r="F98" s="36">
        <v>125</v>
      </c>
      <c r="G98" s="36"/>
      <c r="H98" s="36"/>
      <c r="I98" s="36"/>
      <c r="J98" s="36"/>
      <c r="K98" s="36"/>
      <c r="L98" s="36"/>
      <c r="M98" s="37">
        <v>0.25600000000000001</v>
      </c>
      <c r="N98" s="37">
        <v>0.30299999999999999</v>
      </c>
      <c r="O98" s="37">
        <v>0.32900000000000001</v>
      </c>
      <c r="P98" s="43">
        <v>0.34200000000000003</v>
      </c>
      <c r="Q98" s="36">
        <v>0.36399999999999999</v>
      </c>
      <c r="R98" s="36">
        <v>0.40799999999999997</v>
      </c>
      <c r="S98" s="36">
        <v>0.45300000000000001</v>
      </c>
      <c r="T98" s="36">
        <v>0.497</v>
      </c>
      <c r="U98" s="36"/>
      <c r="V98" s="36"/>
      <c r="W98" s="36"/>
      <c r="X98" s="36"/>
      <c r="Y98" s="36"/>
      <c r="Z98" s="36"/>
      <c r="AA98" s="36">
        <v>0.27800000000000002</v>
      </c>
      <c r="AB98" s="58" t="s">
        <v>331</v>
      </c>
      <c r="AC98" s="36"/>
    </row>
    <row r="99" spans="1:29" outlineLevel="1">
      <c r="A99" s="36" t="s">
        <v>307</v>
      </c>
      <c r="B99" s="36" t="s">
        <v>332</v>
      </c>
      <c r="C99" s="36" t="s">
        <v>304</v>
      </c>
      <c r="D99" s="36"/>
      <c r="E99" s="36" t="s">
        <v>325</v>
      </c>
      <c r="F99" s="36">
        <v>150</v>
      </c>
      <c r="G99" s="36"/>
      <c r="H99" s="36"/>
      <c r="I99" s="36"/>
      <c r="J99" s="36"/>
      <c r="K99" s="36"/>
      <c r="L99" s="36"/>
      <c r="M99" s="38">
        <v>0.29599999999999999</v>
      </c>
      <c r="N99" s="38">
        <v>0.35</v>
      </c>
      <c r="O99" s="38">
        <v>0.38100000000000001</v>
      </c>
      <c r="P99" s="37">
        <v>0.39600000000000002</v>
      </c>
      <c r="Q99" s="37">
        <v>0.42199999999999999</v>
      </c>
      <c r="R99" s="37">
        <v>0.47199999999999998</v>
      </c>
      <c r="S99" s="37">
        <v>0.52500000000000002</v>
      </c>
      <c r="T99" s="37">
        <v>0.57499999999999996</v>
      </c>
      <c r="U99" s="36"/>
      <c r="V99" s="36"/>
      <c r="W99" s="36"/>
      <c r="X99" s="36"/>
      <c r="Y99" s="36"/>
      <c r="Z99" s="36"/>
      <c r="AA99" s="36">
        <v>0.32</v>
      </c>
      <c r="AB99" s="58" t="s">
        <v>331</v>
      </c>
      <c r="AC99" s="36"/>
    </row>
    <row r="100" spans="1:29" outlineLevel="1">
      <c r="A100" s="36" t="s">
        <v>307</v>
      </c>
      <c r="B100" s="36" t="s">
        <v>332</v>
      </c>
      <c r="C100" s="36" t="s">
        <v>304</v>
      </c>
      <c r="D100" s="36"/>
      <c r="E100" s="36" t="s">
        <v>325</v>
      </c>
      <c r="F100" s="36">
        <v>175</v>
      </c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8">
        <v>0.47799999999999998</v>
      </c>
      <c r="R100" s="38">
        <v>0.53400000000000003</v>
      </c>
      <c r="S100" s="38">
        <v>0.59399999999999997</v>
      </c>
      <c r="T100" s="38">
        <v>0.65100000000000002</v>
      </c>
      <c r="U100" s="36"/>
      <c r="V100" s="36"/>
      <c r="W100" s="36"/>
      <c r="X100" s="36"/>
      <c r="Y100" s="36"/>
      <c r="Z100" s="36"/>
      <c r="AA100" s="36">
        <v>0.32</v>
      </c>
      <c r="AB100" s="58" t="s">
        <v>331</v>
      </c>
      <c r="AC100" s="36"/>
    </row>
    <row r="101" spans="1:29" outlineLevel="1">
      <c r="A101" s="36" t="s">
        <v>307</v>
      </c>
      <c r="B101" s="36" t="s">
        <v>332</v>
      </c>
      <c r="C101" s="36" t="s">
        <v>304</v>
      </c>
      <c r="D101" s="36"/>
      <c r="E101" s="36" t="s">
        <v>325</v>
      </c>
      <c r="F101" s="36">
        <v>200</v>
      </c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8">
        <v>0.72399999999999998</v>
      </c>
      <c r="U101" s="36"/>
      <c r="V101" s="36"/>
      <c r="W101" s="36"/>
      <c r="X101" s="36"/>
      <c r="Y101" s="36"/>
      <c r="Z101" s="36"/>
      <c r="AA101" s="36">
        <v>0.32</v>
      </c>
      <c r="AB101" s="58" t="s">
        <v>331</v>
      </c>
      <c r="AC101" s="36"/>
    </row>
    <row r="102" spans="1:29" outlineLevel="1">
      <c r="A102" s="36" t="s">
        <v>307</v>
      </c>
      <c r="B102" s="36" t="s">
        <v>332</v>
      </c>
      <c r="C102" s="36" t="s">
        <v>304</v>
      </c>
      <c r="D102" s="36"/>
      <c r="E102" s="36" t="s">
        <v>325</v>
      </c>
      <c r="F102" s="36">
        <v>225</v>
      </c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>
        <v>0.32</v>
      </c>
      <c r="AB102" s="58" t="s">
        <v>331</v>
      </c>
      <c r="AC102" s="36"/>
    </row>
    <row r="103" spans="1:29" outlineLevel="1">
      <c r="A103" s="36" t="s">
        <v>307</v>
      </c>
      <c r="B103" s="36" t="s">
        <v>332</v>
      </c>
      <c r="C103" s="36" t="s">
        <v>304</v>
      </c>
      <c r="D103" s="36"/>
      <c r="E103" s="36" t="s">
        <v>325</v>
      </c>
      <c r="F103" s="36">
        <v>235</v>
      </c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7">
        <v>0.33200000000000002</v>
      </c>
      <c r="AB103" s="58" t="s">
        <v>331</v>
      </c>
      <c r="AC103" s="36"/>
    </row>
    <row r="104" spans="1:29" outlineLevel="1">
      <c r="A104" s="36" t="s">
        <v>307</v>
      </c>
      <c r="B104" s="36" t="s">
        <v>332</v>
      </c>
      <c r="C104" s="36" t="s">
        <v>304</v>
      </c>
      <c r="D104" s="36"/>
      <c r="E104" s="36" t="s">
        <v>325</v>
      </c>
      <c r="F104" s="36">
        <v>250</v>
      </c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7">
        <v>0.34899999999999998</v>
      </c>
      <c r="AB104" s="58" t="s">
        <v>331</v>
      </c>
      <c r="AC104" s="36"/>
    </row>
    <row r="105" spans="1:29" outlineLevel="1">
      <c r="A105" s="36" t="s">
        <v>307</v>
      </c>
      <c r="B105" s="36" t="s">
        <v>332</v>
      </c>
      <c r="C105" s="36" t="s">
        <v>304</v>
      </c>
      <c r="D105" s="36"/>
      <c r="E105" s="36" t="s">
        <v>325</v>
      </c>
      <c r="F105" s="36">
        <v>270</v>
      </c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7">
        <v>0.371</v>
      </c>
      <c r="AB105" s="58" t="s">
        <v>331</v>
      </c>
      <c r="AC105" s="36"/>
    </row>
    <row r="106" spans="1:29" outlineLevel="1">
      <c r="A106" s="58" t="s">
        <v>331</v>
      </c>
      <c r="B106" s="58" t="s">
        <v>331</v>
      </c>
      <c r="C106" s="58" t="s">
        <v>331</v>
      </c>
      <c r="D106" s="58" t="s">
        <v>331</v>
      </c>
      <c r="E106" s="58" t="s">
        <v>331</v>
      </c>
      <c r="F106" s="58" t="s">
        <v>331</v>
      </c>
      <c r="G106" s="58" t="s">
        <v>331</v>
      </c>
      <c r="H106" s="58" t="s">
        <v>331</v>
      </c>
      <c r="I106" s="58" t="s">
        <v>331</v>
      </c>
      <c r="J106" s="58" t="s">
        <v>331</v>
      </c>
      <c r="K106" s="58" t="s">
        <v>331</v>
      </c>
      <c r="L106" s="58" t="s">
        <v>331</v>
      </c>
      <c r="M106" s="58" t="s">
        <v>331</v>
      </c>
      <c r="N106" s="58" t="s">
        <v>331</v>
      </c>
      <c r="O106" s="58" t="s">
        <v>331</v>
      </c>
      <c r="P106" s="58" t="s">
        <v>331</v>
      </c>
      <c r="Q106" s="58" t="s">
        <v>331</v>
      </c>
      <c r="R106" s="58" t="s">
        <v>331</v>
      </c>
      <c r="S106" s="58" t="s">
        <v>331</v>
      </c>
      <c r="T106" s="58" t="s">
        <v>331</v>
      </c>
      <c r="U106" s="58" t="s">
        <v>331</v>
      </c>
      <c r="V106" s="58" t="s">
        <v>331</v>
      </c>
      <c r="W106" s="58" t="s">
        <v>331</v>
      </c>
      <c r="X106" s="58" t="s">
        <v>331</v>
      </c>
      <c r="Y106" s="58" t="s">
        <v>331</v>
      </c>
      <c r="Z106" s="58" t="s">
        <v>331</v>
      </c>
      <c r="AA106" s="58" t="s">
        <v>331</v>
      </c>
      <c r="AB106" s="58" t="s">
        <v>331</v>
      </c>
      <c r="AC106" s="36"/>
    </row>
    <row r="107" spans="1:29" outlineLevel="1">
      <c r="A107" s="36" t="s">
        <v>307</v>
      </c>
      <c r="B107" s="36" t="s">
        <v>332</v>
      </c>
      <c r="C107" s="36" t="s">
        <v>302</v>
      </c>
      <c r="D107" s="36"/>
      <c r="E107" s="36" t="s">
        <v>326</v>
      </c>
      <c r="F107" s="32">
        <v>30</v>
      </c>
      <c r="G107" s="36">
        <v>6.2E-2</v>
      </c>
      <c r="H107" s="36">
        <v>6.6000000000000003E-2</v>
      </c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58" t="s">
        <v>331</v>
      </c>
      <c r="AC107" s="36"/>
    </row>
    <row r="108" spans="1:29" outlineLevel="1">
      <c r="A108" s="36" t="s">
        <v>307</v>
      </c>
      <c r="B108" s="36" t="s">
        <v>332</v>
      </c>
      <c r="C108" s="36" t="s">
        <v>302</v>
      </c>
      <c r="D108" s="36"/>
      <c r="E108" s="36" t="s">
        <v>326</v>
      </c>
      <c r="F108" s="32">
        <v>40</v>
      </c>
      <c r="G108" s="36">
        <v>7.5999999999999998E-2</v>
      </c>
      <c r="H108" s="36">
        <v>0.08</v>
      </c>
      <c r="I108" s="36">
        <v>8.5000000000000006E-2</v>
      </c>
      <c r="J108" s="36"/>
      <c r="K108" s="36">
        <v>9.7000000000000003E-2</v>
      </c>
      <c r="L108" s="36">
        <v>0.106</v>
      </c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58" t="s">
        <v>331</v>
      </c>
      <c r="AC108" s="36"/>
    </row>
    <row r="109" spans="1:29" outlineLevel="1">
      <c r="A109" s="36" t="s">
        <v>307</v>
      </c>
      <c r="B109" s="36" t="s">
        <v>332</v>
      </c>
      <c r="C109" s="36" t="s">
        <v>302</v>
      </c>
      <c r="D109" s="36"/>
      <c r="E109" s="36" t="s">
        <v>326</v>
      </c>
      <c r="F109" s="32">
        <v>50</v>
      </c>
      <c r="G109" s="36">
        <v>9.1999999999999998E-2</v>
      </c>
      <c r="H109" s="36">
        <v>9.4E-2</v>
      </c>
      <c r="I109" s="36">
        <v>0.10199999999999999</v>
      </c>
      <c r="J109" s="36"/>
      <c r="K109" s="36">
        <v>0.111</v>
      </c>
      <c r="L109" s="36">
        <v>0.12</v>
      </c>
      <c r="M109" s="36">
        <v>0.13200000000000001</v>
      </c>
      <c r="N109" s="36">
        <v>0.14099999999999999</v>
      </c>
      <c r="O109" s="36">
        <v>0.16</v>
      </c>
      <c r="P109" s="36">
        <v>0.17899999999999999</v>
      </c>
      <c r="Q109" s="36">
        <v>0.19800000000000001</v>
      </c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58" t="s">
        <v>331</v>
      </c>
      <c r="AC109" s="36"/>
    </row>
    <row r="110" spans="1:29" outlineLevel="1">
      <c r="A110" s="36" t="s">
        <v>307</v>
      </c>
      <c r="B110" s="36" t="s">
        <v>332</v>
      </c>
      <c r="C110" s="36" t="s">
        <v>302</v>
      </c>
      <c r="D110" s="36"/>
      <c r="E110" s="36" t="s">
        <v>326</v>
      </c>
      <c r="F110" s="32">
        <v>65</v>
      </c>
      <c r="G110" s="36">
        <v>0.113</v>
      </c>
      <c r="H110" s="36">
        <v>0.11799999999999999</v>
      </c>
      <c r="I110" s="36">
        <v>0.12</v>
      </c>
      <c r="J110" s="36"/>
      <c r="K110" s="36">
        <v>0.13400000000000001</v>
      </c>
      <c r="L110" s="36">
        <v>0.14099999999999999</v>
      </c>
      <c r="M110" s="36">
        <v>0.153</v>
      </c>
      <c r="N110" s="36">
        <v>0.16300000000000001</v>
      </c>
      <c r="O110" s="36">
        <v>0.18099999999999999</v>
      </c>
      <c r="P110" s="36">
        <v>0.2</v>
      </c>
      <c r="Q110" s="36">
        <v>0.219</v>
      </c>
      <c r="R110" s="36">
        <v>0.25700000000000001</v>
      </c>
      <c r="S110" s="36">
        <v>0.29399999999999998</v>
      </c>
      <c r="T110" s="36">
        <v>0.33200000000000002</v>
      </c>
      <c r="U110" s="36"/>
      <c r="V110" s="36"/>
      <c r="W110" s="36"/>
      <c r="X110" s="36"/>
      <c r="Y110" s="36"/>
      <c r="Z110" s="36"/>
      <c r="AA110" s="36"/>
      <c r="AB110" s="58" t="s">
        <v>331</v>
      </c>
      <c r="AC110" s="36"/>
    </row>
    <row r="111" spans="1:29" outlineLevel="1">
      <c r="A111" s="36" t="s">
        <v>307</v>
      </c>
      <c r="B111" s="36" t="s">
        <v>332</v>
      </c>
      <c r="C111" s="36" t="s">
        <v>302</v>
      </c>
      <c r="D111" s="36"/>
      <c r="E111" s="36" t="s">
        <v>326</v>
      </c>
      <c r="F111" s="32">
        <v>75</v>
      </c>
      <c r="G111" s="37">
        <v>0.127</v>
      </c>
      <c r="H111" s="36">
        <v>0.13200000000000001</v>
      </c>
      <c r="I111" s="36">
        <v>0.13400000000000001</v>
      </c>
      <c r="J111" s="36"/>
      <c r="K111" s="36">
        <v>0.14899999999999999</v>
      </c>
      <c r="L111" s="36">
        <v>0.158</v>
      </c>
      <c r="M111" s="36">
        <v>0.17</v>
      </c>
      <c r="N111" s="36">
        <v>0.17899999999999999</v>
      </c>
      <c r="O111" s="36">
        <v>0.19800000000000001</v>
      </c>
      <c r="P111" s="36">
        <v>0.217</v>
      </c>
      <c r="Q111" s="36">
        <v>0.23499999999999999</v>
      </c>
      <c r="R111" s="36">
        <v>0.27100000000000002</v>
      </c>
      <c r="S111" s="36">
        <v>0.308</v>
      </c>
      <c r="T111" s="36">
        <v>0.34599999999999997</v>
      </c>
      <c r="U111" s="36"/>
      <c r="V111" s="36"/>
      <c r="W111" s="36"/>
      <c r="X111" s="36"/>
      <c r="Y111" s="36"/>
      <c r="Z111" s="36"/>
      <c r="AA111" s="36">
        <v>0.23499999999999999</v>
      </c>
      <c r="AB111" s="58" t="s">
        <v>331</v>
      </c>
      <c r="AC111" s="36"/>
    </row>
    <row r="112" spans="1:29" outlineLevel="1">
      <c r="A112" s="36" t="s">
        <v>307</v>
      </c>
      <c r="B112" s="36" t="s">
        <v>332</v>
      </c>
      <c r="C112" s="36" t="s">
        <v>302</v>
      </c>
      <c r="D112" s="36"/>
      <c r="E112" s="36" t="s">
        <v>326</v>
      </c>
      <c r="F112" s="32">
        <v>100</v>
      </c>
      <c r="G112" s="38">
        <v>0.16</v>
      </c>
      <c r="H112" s="37">
        <v>0.16700000000000001</v>
      </c>
      <c r="I112" s="37">
        <v>0.16900000000000001</v>
      </c>
      <c r="J112" s="37"/>
      <c r="K112" s="37">
        <v>0.188</v>
      </c>
      <c r="L112" s="36">
        <v>0.22800000000000001</v>
      </c>
      <c r="M112" s="36">
        <v>0.24199999999999999</v>
      </c>
      <c r="N112" s="36">
        <v>0.253</v>
      </c>
      <c r="O112" s="36">
        <v>0.27500000000000002</v>
      </c>
      <c r="P112" s="36">
        <v>0.29699999999999999</v>
      </c>
      <c r="Q112" s="36">
        <v>0.32</v>
      </c>
      <c r="R112" s="36">
        <v>0.36399999999999999</v>
      </c>
      <c r="S112" s="36">
        <v>0.40799999999999997</v>
      </c>
      <c r="T112" s="36">
        <v>0.45300000000000001</v>
      </c>
      <c r="U112" s="36"/>
      <c r="V112" s="36"/>
      <c r="W112" s="36"/>
      <c r="X112" s="36"/>
      <c r="Y112" s="36"/>
      <c r="Z112" s="36"/>
      <c r="AA112" s="36">
        <v>0.27800000000000002</v>
      </c>
      <c r="AB112" s="58" t="s">
        <v>331</v>
      </c>
      <c r="AC112" s="36"/>
    </row>
    <row r="113" spans="1:29" outlineLevel="1">
      <c r="A113" s="36" t="s">
        <v>307</v>
      </c>
      <c r="B113" s="36" t="s">
        <v>332</v>
      </c>
      <c r="C113" s="36" t="s">
        <v>302</v>
      </c>
      <c r="D113" s="36"/>
      <c r="E113" s="36" t="s">
        <v>326</v>
      </c>
      <c r="F113" s="36">
        <v>125</v>
      </c>
      <c r="G113" s="38">
        <v>0.191</v>
      </c>
      <c r="H113" s="38">
        <v>0.2</v>
      </c>
      <c r="I113" s="38">
        <v>0.20200000000000001</v>
      </c>
      <c r="J113" s="38"/>
      <c r="K113" s="38">
        <v>0.22500000000000001</v>
      </c>
      <c r="L113" s="37">
        <v>0.27300000000000002</v>
      </c>
      <c r="M113" s="37">
        <v>0.28999999999999998</v>
      </c>
      <c r="N113" s="37">
        <v>0.30299999999999999</v>
      </c>
      <c r="O113" s="37">
        <v>0.32900000000000001</v>
      </c>
      <c r="P113" s="36">
        <v>0.34200000000000003</v>
      </c>
      <c r="Q113" s="36">
        <v>0.36399999999999999</v>
      </c>
      <c r="R113" s="36">
        <v>0.40799999999999997</v>
      </c>
      <c r="S113" s="36">
        <v>0.45300000000000001</v>
      </c>
      <c r="T113" s="36">
        <v>0.497</v>
      </c>
      <c r="U113" s="36"/>
      <c r="V113" s="36"/>
      <c r="W113" s="36"/>
      <c r="X113" s="36"/>
      <c r="Y113" s="36"/>
      <c r="Z113" s="36"/>
      <c r="AA113" s="36">
        <v>0.27800000000000002</v>
      </c>
      <c r="AB113" s="58" t="s">
        <v>331</v>
      </c>
      <c r="AC113" s="36"/>
    </row>
    <row r="114" spans="1:29" outlineLevel="1">
      <c r="A114" s="36" t="s">
        <v>307</v>
      </c>
      <c r="B114" s="36" t="s">
        <v>332</v>
      </c>
      <c r="C114" s="36" t="s">
        <v>302</v>
      </c>
      <c r="D114" s="36"/>
      <c r="E114" s="36" t="s">
        <v>326</v>
      </c>
      <c r="F114" s="36">
        <v>150</v>
      </c>
      <c r="G114" s="36"/>
      <c r="H114" s="36"/>
      <c r="I114" s="36"/>
      <c r="J114" s="36"/>
      <c r="K114" s="38">
        <v>0.26</v>
      </c>
      <c r="L114" s="37">
        <v>0.316</v>
      </c>
      <c r="M114" s="38">
        <v>0.33500000000000002</v>
      </c>
      <c r="N114" s="38">
        <v>0.35</v>
      </c>
      <c r="O114" s="38">
        <v>0.38100000000000001</v>
      </c>
      <c r="P114" s="37">
        <v>0.39600000000000002</v>
      </c>
      <c r="Q114" s="36">
        <v>0.42199999999999999</v>
      </c>
      <c r="R114" s="37">
        <v>0.47199999999999998</v>
      </c>
      <c r="S114" s="37">
        <v>0.52500000000000002</v>
      </c>
      <c r="T114" s="37">
        <v>0.57499999999999996</v>
      </c>
      <c r="U114" s="36"/>
      <c r="V114" s="36"/>
      <c r="W114" s="36"/>
      <c r="X114" s="36"/>
      <c r="Y114" s="36"/>
      <c r="Z114" s="36"/>
      <c r="AA114" s="36">
        <v>0.32</v>
      </c>
      <c r="AB114" s="58" t="s">
        <v>331</v>
      </c>
      <c r="AC114" s="36"/>
    </row>
    <row r="115" spans="1:29" outlineLevel="1">
      <c r="A115" s="36" t="s">
        <v>307</v>
      </c>
      <c r="B115" s="36" t="s">
        <v>332</v>
      </c>
      <c r="C115" s="36" t="s">
        <v>302</v>
      </c>
      <c r="D115" s="36"/>
      <c r="E115" s="36" t="s">
        <v>326</v>
      </c>
      <c r="F115" s="36">
        <v>200</v>
      </c>
      <c r="G115" s="36"/>
      <c r="H115" s="36"/>
      <c r="I115" s="36"/>
      <c r="J115" s="36"/>
      <c r="K115" s="36"/>
      <c r="L115" s="36"/>
      <c r="M115" s="38">
        <v>0.42199999999999999</v>
      </c>
      <c r="N115" s="38">
        <v>0.441</v>
      </c>
      <c r="O115" s="38">
        <v>0.47899999999999998</v>
      </c>
      <c r="P115" s="38">
        <v>0.5</v>
      </c>
      <c r="Q115" s="38">
        <v>0.53100000000000003</v>
      </c>
      <c r="R115" s="38">
        <v>0.59499999999999997</v>
      </c>
      <c r="S115" s="38">
        <v>0.66</v>
      </c>
      <c r="T115" s="38">
        <v>0.72399999999999998</v>
      </c>
      <c r="U115" s="36"/>
      <c r="V115" s="36"/>
      <c r="W115" s="36"/>
      <c r="X115" s="36"/>
      <c r="Y115" s="36"/>
      <c r="Z115" s="36"/>
      <c r="AA115" s="36">
        <v>0.32</v>
      </c>
      <c r="AB115" s="58" t="s">
        <v>331</v>
      </c>
      <c r="AC115" s="36"/>
    </row>
    <row r="116" spans="1:29" outlineLevel="1">
      <c r="A116" s="36" t="s">
        <v>307</v>
      </c>
      <c r="B116" s="36" t="s">
        <v>332</v>
      </c>
      <c r="C116" s="36" t="s">
        <v>302</v>
      </c>
      <c r="D116" s="36"/>
      <c r="E116" s="36" t="s">
        <v>326</v>
      </c>
      <c r="F116" s="36">
        <v>225</v>
      </c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8">
        <v>0.72499999999999998</v>
      </c>
      <c r="T116" s="38">
        <v>0.79600000000000004</v>
      </c>
      <c r="U116" s="36"/>
      <c r="V116" s="36"/>
      <c r="W116" s="36"/>
      <c r="X116" s="36"/>
      <c r="Y116" s="36"/>
      <c r="Z116" s="36"/>
      <c r="AA116" s="36">
        <v>0.32</v>
      </c>
      <c r="AB116" s="58" t="s">
        <v>331</v>
      </c>
      <c r="AC116" s="36"/>
    </row>
    <row r="117" spans="1:29" outlineLevel="1">
      <c r="A117" s="36" t="s">
        <v>307</v>
      </c>
      <c r="B117" s="36" t="s">
        <v>332</v>
      </c>
      <c r="C117" s="36" t="s">
        <v>302</v>
      </c>
      <c r="D117" s="36"/>
      <c r="E117" s="36" t="s">
        <v>326</v>
      </c>
      <c r="F117" s="36">
        <v>275</v>
      </c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7">
        <v>0.376</v>
      </c>
      <c r="AB117" s="58" t="s">
        <v>331</v>
      </c>
      <c r="AC117" s="36"/>
    </row>
    <row r="118" spans="1:29" outlineLevel="1">
      <c r="A118" s="36" t="s">
        <v>307</v>
      </c>
      <c r="B118" s="36" t="s">
        <v>332</v>
      </c>
      <c r="C118" s="36" t="s">
        <v>302</v>
      </c>
      <c r="D118" s="36"/>
      <c r="E118" s="36" t="s">
        <v>326</v>
      </c>
      <c r="F118" s="36">
        <v>335</v>
      </c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S118" s="36"/>
      <c r="T118" s="36"/>
      <c r="U118" s="36"/>
      <c r="V118" s="36"/>
      <c r="W118" s="36"/>
      <c r="X118" s="36"/>
      <c r="Y118" s="36"/>
      <c r="Z118" s="36"/>
      <c r="AA118" s="37">
        <v>0.376</v>
      </c>
      <c r="AB118" s="58" t="s">
        <v>331</v>
      </c>
      <c r="AC118" s="36"/>
    </row>
    <row r="119" spans="1:29" outlineLevel="1">
      <c r="A119" s="54" t="s">
        <v>331</v>
      </c>
      <c r="B119" s="54" t="s">
        <v>331</v>
      </c>
      <c r="C119" s="54" t="s">
        <v>331</v>
      </c>
      <c r="D119" s="54" t="s">
        <v>331</v>
      </c>
      <c r="E119" s="54" t="s">
        <v>331</v>
      </c>
      <c r="F119" s="54" t="s">
        <v>331</v>
      </c>
      <c r="G119" s="54" t="s">
        <v>331</v>
      </c>
      <c r="H119" s="54" t="s">
        <v>331</v>
      </c>
      <c r="I119" s="54" t="s">
        <v>331</v>
      </c>
      <c r="J119" s="54" t="s">
        <v>331</v>
      </c>
      <c r="K119" s="54" t="s">
        <v>331</v>
      </c>
      <c r="L119" s="54" t="s">
        <v>331</v>
      </c>
      <c r="M119" s="54" t="s">
        <v>331</v>
      </c>
      <c r="N119" s="54" t="s">
        <v>331</v>
      </c>
      <c r="O119" s="54" t="s">
        <v>331</v>
      </c>
      <c r="P119" s="54" t="s">
        <v>331</v>
      </c>
      <c r="Q119" s="54" t="s">
        <v>331</v>
      </c>
      <c r="R119" s="54" t="s">
        <v>331</v>
      </c>
      <c r="S119" s="54" t="s">
        <v>331</v>
      </c>
      <c r="T119" s="54" t="s">
        <v>331</v>
      </c>
      <c r="U119" s="54" t="s">
        <v>331</v>
      </c>
      <c r="V119" s="54" t="s">
        <v>331</v>
      </c>
      <c r="W119" s="54" t="s">
        <v>331</v>
      </c>
      <c r="X119" s="54" t="s">
        <v>331</v>
      </c>
      <c r="Y119" s="54" t="s">
        <v>331</v>
      </c>
      <c r="Z119" s="54" t="s">
        <v>331</v>
      </c>
      <c r="AA119" s="54" t="s">
        <v>331</v>
      </c>
      <c r="AB119" s="54" t="s">
        <v>331</v>
      </c>
    </row>
    <row r="120" spans="1:29" outlineLevel="1">
      <c r="A120" s="36" t="s">
        <v>306</v>
      </c>
      <c r="B120" s="36" t="s">
        <v>332</v>
      </c>
      <c r="C120" s="36" t="s">
        <v>301</v>
      </c>
      <c r="D120" s="36"/>
      <c r="E120" s="36" t="s">
        <v>327</v>
      </c>
      <c r="F120" s="32">
        <v>30</v>
      </c>
      <c r="G120" s="36">
        <v>6.2E-2</v>
      </c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58" t="s">
        <v>331</v>
      </c>
      <c r="AC120" s="36"/>
    </row>
    <row r="121" spans="1:29" outlineLevel="1">
      <c r="A121" s="36" t="s">
        <v>306</v>
      </c>
      <c r="B121" s="36" t="s">
        <v>332</v>
      </c>
      <c r="C121" s="36" t="s">
        <v>301</v>
      </c>
      <c r="D121" s="36"/>
      <c r="E121" s="36" t="s">
        <v>327</v>
      </c>
      <c r="F121" s="39">
        <v>40</v>
      </c>
      <c r="G121" s="36">
        <v>7.5999999999999998E-2</v>
      </c>
      <c r="H121" s="36">
        <v>0.08</v>
      </c>
      <c r="I121" s="36">
        <v>8.5000000000000006E-2</v>
      </c>
      <c r="J121" s="36"/>
      <c r="K121" s="36">
        <v>9.7000000000000003E-2</v>
      </c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58" t="s">
        <v>331</v>
      </c>
      <c r="AC121" s="36"/>
    </row>
    <row r="122" spans="1:29" outlineLevel="1">
      <c r="A122" s="36" t="s">
        <v>306</v>
      </c>
      <c r="B122" s="36" t="s">
        <v>332</v>
      </c>
      <c r="C122" s="36" t="s">
        <v>301</v>
      </c>
      <c r="D122" s="36"/>
      <c r="E122" s="36" t="s">
        <v>327</v>
      </c>
      <c r="F122" s="39">
        <v>50</v>
      </c>
      <c r="G122" s="36">
        <v>9.1999999999999998E-2</v>
      </c>
      <c r="H122" s="36">
        <v>9.4E-2</v>
      </c>
      <c r="I122" s="36">
        <v>0.10199999999999999</v>
      </c>
      <c r="J122" s="36"/>
      <c r="K122" s="36">
        <v>0.111</v>
      </c>
      <c r="L122" s="36">
        <v>0.12</v>
      </c>
      <c r="M122" s="36">
        <v>0.13200000000000001</v>
      </c>
      <c r="N122" s="36">
        <v>0.14099999999999999</v>
      </c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58" t="s">
        <v>331</v>
      </c>
      <c r="AC122" s="36"/>
    </row>
    <row r="123" spans="1:29" outlineLevel="1">
      <c r="A123" s="36" t="s">
        <v>306</v>
      </c>
      <c r="B123" s="36" t="s">
        <v>332</v>
      </c>
      <c r="C123" s="36" t="s">
        <v>301</v>
      </c>
      <c r="D123" s="36"/>
      <c r="E123" s="36" t="s">
        <v>327</v>
      </c>
      <c r="F123" s="39">
        <v>65</v>
      </c>
      <c r="G123" s="37">
        <v>0.114</v>
      </c>
      <c r="H123" s="37">
        <v>0.11600000000000001</v>
      </c>
      <c r="I123" s="37">
        <v>0.126</v>
      </c>
      <c r="J123" s="43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58" t="s">
        <v>331</v>
      </c>
      <c r="AC123" s="36"/>
    </row>
    <row r="124" spans="1:29" outlineLevel="1">
      <c r="A124" s="36" t="s">
        <v>306</v>
      </c>
      <c r="B124" s="36" t="s">
        <v>332</v>
      </c>
      <c r="C124" s="36" t="s">
        <v>301</v>
      </c>
      <c r="D124" s="36"/>
      <c r="E124" s="36" t="s">
        <v>327</v>
      </c>
      <c r="F124" s="41">
        <v>75</v>
      </c>
      <c r="G124" s="38">
        <v>0.128</v>
      </c>
      <c r="H124" s="38">
        <v>0.13</v>
      </c>
      <c r="I124" s="38">
        <v>0.14099999999999999</v>
      </c>
      <c r="J124" s="43"/>
      <c r="K124" s="36">
        <v>0.14599999999999999</v>
      </c>
      <c r="L124" s="36">
        <v>0.158</v>
      </c>
      <c r="M124" s="36">
        <v>0.17</v>
      </c>
      <c r="N124" s="36">
        <v>0.17899999999999999</v>
      </c>
      <c r="O124" s="36">
        <v>0.19800000000000001</v>
      </c>
      <c r="P124" s="36">
        <v>0.217</v>
      </c>
      <c r="Q124" s="36">
        <v>0.23499999999999999</v>
      </c>
      <c r="R124" s="36">
        <v>0.27100000000000002</v>
      </c>
      <c r="S124" s="36">
        <v>0.308</v>
      </c>
      <c r="T124" s="36">
        <v>0.34599999999999997</v>
      </c>
      <c r="U124" s="36"/>
      <c r="V124" s="36"/>
      <c r="W124" s="36"/>
      <c r="X124" s="36"/>
      <c r="Y124" s="36"/>
      <c r="Z124" s="36"/>
      <c r="AA124" s="36"/>
      <c r="AB124" s="58" t="s">
        <v>331</v>
      </c>
      <c r="AC124" s="36"/>
    </row>
    <row r="125" spans="1:29" outlineLevel="1">
      <c r="A125" s="36" t="s">
        <v>306</v>
      </c>
      <c r="B125" s="36" t="s">
        <v>332</v>
      </c>
      <c r="C125" s="36" t="s">
        <v>301</v>
      </c>
      <c r="D125" s="36"/>
      <c r="E125" s="36" t="s">
        <v>327</v>
      </c>
      <c r="F125" s="39">
        <v>100</v>
      </c>
      <c r="G125" s="38">
        <v>0.161</v>
      </c>
      <c r="H125" s="38">
        <v>0.16400000000000001</v>
      </c>
      <c r="I125" s="38">
        <v>0.17799999999999999</v>
      </c>
      <c r="J125" s="37"/>
      <c r="K125" s="37">
        <v>0.184</v>
      </c>
      <c r="L125" s="37">
        <v>0.19900000000000001</v>
      </c>
      <c r="M125" s="37">
        <v>0.214</v>
      </c>
      <c r="N125" s="37">
        <v>0.22600000000000001</v>
      </c>
      <c r="O125" s="37">
        <v>0.25</v>
      </c>
      <c r="P125" s="37">
        <v>0.27400000000000002</v>
      </c>
      <c r="Q125" s="37">
        <v>0.3</v>
      </c>
      <c r="R125" s="36">
        <v>0.32100000000000001</v>
      </c>
      <c r="S125" s="36">
        <v>0.40799999999999997</v>
      </c>
      <c r="T125" s="36">
        <v>0.45300000000000001</v>
      </c>
      <c r="U125" s="36"/>
      <c r="V125" s="36"/>
      <c r="W125" s="36"/>
      <c r="X125" s="36"/>
      <c r="Y125" s="36"/>
      <c r="Z125" s="36"/>
      <c r="AA125" s="36">
        <v>0.23499999999999999</v>
      </c>
      <c r="AB125" s="58" t="s">
        <v>331</v>
      </c>
      <c r="AC125" s="36"/>
    </row>
    <row r="126" spans="1:29" outlineLevel="1">
      <c r="A126" s="36" t="s">
        <v>306</v>
      </c>
      <c r="B126" s="36" t="s">
        <v>332</v>
      </c>
      <c r="C126" s="36" t="s">
        <v>301</v>
      </c>
      <c r="D126" s="36"/>
      <c r="E126" s="36" t="s">
        <v>327</v>
      </c>
      <c r="F126" s="39">
        <v>125</v>
      </c>
      <c r="G126" s="38">
        <v>0.192</v>
      </c>
      <c r="H126" s="38">
        <v>0.19500000000000001</v>
      </c>
      <c r="I126" s="38">
        <v>0.21299999999999999</v>
      </c>
      <c r="J126" s="38"/>
      <c r="K126" s="38">
        <v>0.22</v>
      </c>
      <c r="L126" s="38">
        <v>0.23799999999999999</v>
      </c>
      <c r="M126" s="38">
        <v>0.25600000000000001</v>
      </c>
      <c r="N126" s="38">
        <v>0.27</v>
      </c>
      <c r="O126" s="38">
        <v>0.3</v>
      </c>
      <c r="P126" s="38">
        <v>0.32700000000000001</v>
      </c>
      <c r="Q126" s="38">
        <v>0.35399999999999998</v>
      </c>
      <c r="R126" s="37">
        <v>0.38400000000000001</v>
      </c>
      <c r="S126" s="37">
        <v>0.48799999999999999</v>
      </c>
      <c r="T126" s="37">
        <v>0.54200000000000004</v>
      </c>
      <c r="U126" s="36"/>
      <c r="V126" s="36"/>
      <c r="W126" s="36"/>
      <c r="X126" s="36"/>
      <c r="Y126" s="36"/>
      <c r="Z126" s="36"/>
      <c r="AA126" s="36">
        <v>0.27800000000000002</v>
      </c>
      <c r="AB126" s="58" t="s">
        <v>331</v>
      </c>
      <c r="AC126" s="36"/>
    </row>
    <row r="127" spans="1:29" outlineLevel="1">
      <c r="A127" s="36" t="s">
        <v>306</v>
      </c>
      <c r="B127" s="36" t="s">
        <v>332</v>
      </c>
      <c r="C127" s="36" t="s">
        <v>301</v>
      </c>
      <c r="D127" s="36"/>
      <c r="E127" s="36" t="s">
        <v>327</v>
      </c>
      <c r="F127" s="39">
        <v>150</v>
      </c>
      <c r="G127" s="36"/>
      <c r="H127" s="36"/>
      <c r="I127" s="38">
        <v>0.246</v>
      </c>
      <c r="J127" s="38"/>
      <c r="K127" s="38">
        <v>0.255</v>
      </c>
      <c r="L127" s="38">
        <v>0.27500000000000002</v>
      </c>
      <c r="M127" s="38">
        <v>0.29599999999999999</v>
      </c>
      <c r="N127" s="38">
        <v>0.312</v>
      </c>
      <c r="O127" s="38">
        <v>0.34499999999999997</v>
      </c>
      <c r="P127" s="38">
        <v>0.378</v>
      </c>
      <c r="Q127" s="38">
        <v>0.41</v>
      </c>
      <c r="R127" s="38">
        <v>0.44400000000000001</v>
      </c>
      <c r="S127" s="38">
        <v>0.56499999999999995</v>
      </c>
      <c r="T127" s="38">
        <v>0.627</v>
      </c>
      <c r="U127" s="36"/>
      <c r="V127" s="36"/>
      <c r="W127" s="36"/>
      <c r="X127" s="36"/>
      <c r="Y127" s="36"/>
      <c r="Z127" s="36"/>
      <c r="AA127" s="36">
        <v>0.27800000000000002</v>
      </c>
      <c r="AB127" s="58" t="s">
        <v>331</v>
      </c>
      <c r="AC127" s="36"/>
    </row>
    <row r="128" spans="1:29" outlineLevel="1">
      <c r="A128" s="36" t="s">
        <v>306</v>
      </c>
      <c r="B128" s="36" t="s">
        <v>332</v>
      </c>
      <c r="C128" s="36" t="s">
        <v>301</v>
      </c>
      <c r="D128" s="36"/>
      <c r="E128" s="36" t="s">
        <v>327</v>
      </c>
      <c r="F128" s="39">
        <v>200</v>
      </c>
      <c r="G128" s="36"/>
      <c r="H128" s="36"/>
      <c r="I128" s="36"/>
      <c r="J128" s="36"/>
      <c r="K128" s="36"/>
      <c r="L128" s="36"/>
      <c r="M128" s="37">
        <v>0.373</v>
      </c>
      <c r="N128" s="37">
        <v>0.39300000000000002</v>
      </c>
      <c r="O128" s="38">
        <v>0.434</v>
      </c>
      <c r="P128" s="38">
        <v>0.47599999999999998</v>
      </c>
      <c r="Q128" s="38">
        <v>0.51500000000000001</v>
      </c>
      <c r="R128" s="38">
        <v>0.55900000000000005</v>
      </c>
      <c r="S128" s="38">
        <v>0.71099999999999997</v>
      </c>
      <c r="T128" s="38">
        <v>0.78900000000000003</v>
      </c>
      <c r="U128" s="36"/>
      <c r="V128" s="36"/>
      <c r="W128" s="36"/>
      <c r="X128" s="36"/>
      <c r="Y128" s="36"/>
      <c r="Z128" s="36"/>
      <c r="AA128" s="36">
        <v>0.27800000000000002</v>
      </c>
      <c r="AB128" s="58" t="s">
        <v>331</v>
      </c>
      <c r="AC128" s="36"/>
    </row>
    <row r="129" spans="1:29" outlineLevel="1">
      <c r="A129" s="36" t="s">
        <v>306</v>
      </c>
      <c r="B129" s="36" t="s">
        <v>332</v>
      </c>
      <c r="C129" s="36" t="s">
        <v>301</v>
      </c>
      <c r="D129" s="36"/>
      <c r="E129" s="36" t="s">
        <v>327</v>
      </c>
      <c r="F129" s="39">
        <v>245</v>
      </c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8">
        <v>0.65800000000000003</v>
      </c>
      <c r="S129" s="38">
        <v>0.83599999999999997</v>
      </c>
      <c r="T129" s="38">
        <v>0.92800000000000005</v>
      </c>
      <c r="U129" s="36"/>
      <c r="V129" s="36"/>
      <c r="W129" s="36"/>
      <c r="X129" s="36"/>
      <c r="Y129" s="36"/>
      <c r="Z129" s="36"/>
      <c r="AA129" s="37">
        <v>0.32700000000000001</v>
      </c>
      <c r="AB129" s="58" t="s">
        <v>331</v>
      </c>
      <c r="AC129" s="36"/>
    </row>
    <row r="130" spans="1:29" outlineLevel="1">
      <c r="A130" s="36" t="s">
        <v>306</v>
      </c>
      <c r="B130" s="36" t="s">
        <v>332</v>
      </c>
      <c r="C130" s="36" t="s">
        <v>301</v>
      </c>
      <c r="D130" s="36"/>
      <c r="E130" s="36" t="s">
        <v>327</v>
      </c>
      <c r="F130" s="39">
        <v>305</v>
      </c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8">
        <v>0.39</v>
      </c>
      <c r="AB130" s="58" t="s">
        <v>331</v>
      </c>
      <c r="AC130" s="36"/>
    </row>
    <row r="131" spans="1:29" outlineLevel="1">
      <c r="A131" s="36" t="s">
        <v>306</v>
      </c>
      <c r="B131" s="36" t="s">
        <v>332</v>
      </c>
      <c r="C131" s="36" t="s">
        <v>301</v>
      </c>
      <c r="D131" s="36"/>
      <c r="E131" s="36" t="s">
        <v>327</v>
      </c>
      <c r="F131" s="39">
        <v>370</v>
      </c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8">
        <v>0.45500000000000002</v>
      </c>
      <c r="AB131" s="58" t="s">
        <v>331</v>
      </c>
      <c r="AC131" s="36"/>
    </row>
    <row r="132" spans="1:29" outlineLevel="1">
      <c r="A132" s="54" t="s">
        <v>331</v>
      </c>
      <c r="B132" s="54" t="s">
        <v>331</v>
      </c>
      <c r="C132" s="54" t="s">
        <v>331</v>
      </c>
      <c r="D132" s="54" t="s">
        <v>331</v>
      </c>
      <c r="E132" s="54" t="s">
        <v>331</v>
      </c>
      <c r="F132" s="54" t="s">
        <v>331</v>
      </c>
      <c r="G132" s="54" t="s">
        <v>331</v>
      </c>
      <c r="H132" s="54" t="s">
        <v>331</v>
      </c>
      <c r="I132" s="54" t="s">
        <v>331</v>
      </c>
      <c r="J132" s="54" t="s">
        <v>331</v>
      </c>
      <c r="K132" s="54" t="s">
        <v>331</v>
      </c>
      <c r="L132" s="54" t="s">
        <v>331</v>
      </c>
      <c r="M132" s="54" t="s">
        <v>331</v>
      </c>
      <c r="N132" s="54" t="s">
        <v>331</v>
      </c>
      <c r="O132" s="54" t="s">
        <v>331</v>
      </c>
      <c r="P132" s="54" t="s">
        <v>331</v>
      </c>
      <c r="Q132" s="54" t="s">
        <v>331</v>
      </c>
      <c r="R132" s="54" t="s">
        <v>331</v>
      </c>
      <c r="S132" s="54" t="s">
        <v>331</v>
      </c>
      <c r="T132" s="54" t="s">
        <v>331</v>
      </c>
      <c r="U132" s="54" t="s">
        <v>331</v>
      </c>
      <c r="V132" s="54" t="s">
        <v>331</v>
      </c>
      <c r="W132" s="54" t="s">
        <v>331</v>
      </c>
      <c r="X132" s="54" t="s">
        <v>331</v>
      </c>
      <c r="Y132" s="54" t="s">
        <v>331</v>
      </c>
      <c r="Z132" s="54" t="s">
        <v>331</v>
      </c>
      <c r="AA132" s="54" t="s">
        <v>331</v>
      </c>
      <c r="AB132" s="54" t="s">
        <v>331</v>
      </c>
      <c r="AC132" s="36"/>
    </row>
    <row r="133" spans="1:29" outlineLevel="1">
      <c r="A133" s="36" t="s">
        <v>306</v>
      </c>
      <c r="B133" s="36" t="s">
        <v>332</v>
      </c>
      <c r="C133" s="36" t="s">
        <v>300</v>
      </c>
      <c r="D133" s="36"/>
      <c r="E133" s="36" t="s">
        <v>328</v>
      </c>
      <c r="F133" s="36">
        <v>30</v>
      </c>
      <c r="G133" s="37">
        <v>0.06</v>
      </c>
      <c r="H133" s="36">
        <v>6.0999999999999999E-2</v>
      </c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58" t="s">
        <v>331</v>
      </c>
      <c r="AC133" s="36"/>
    </row>
    <row r="134" spans="1:29" outlineLevel="1">
      <c r="A134" s="36" t="s">
        <v>306</v>
      </c>
      <c r="B134" s="36" t="s">
        <v>332</v>
      </c>
      <c r="C134" s="36" t="s">
        <v>300</v>
      </c>
      <c r="D134" s="36"/>
      <c r="E134" s="36" t="s">
        <v>328</v>
      </c>
      <c r="F134" s="36">
        <v>40</v>
      </c>
      <c r="G134" s="38">
        <v>7.4999999999999997E-2</v>
      </c>
      <c r="H134" s="43"/>
      <c r="I134" s="37">
        <v>8.3000000000000004E-2</v>
      </c>
      <c r="J134" s="43"/>
      <c r="K134" s="36">
        <v>0.09</v>
      </c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58" t="s">
        <v>331</v>
      </c>
      <c r="AC134" s="36"/>
    </row>
    <row r="135" spans="1:29" outlineLevel="1">
      <c r="A135" s="36" t="s">
        <v>306</v>
      </c>
      <c r="B135" s="36" t="s">
        <v>332</v>
      </c>
      <c r="C135" s="36" t="s">
        <v>300</v>
      </c>
      <c r="D135" s="36"/>
      <c r="E135" s="36" t="s">
        <v>328</v>
      </c>
      <c r="F135" s="36">
        <v>50</v>
      </c>
      <c r="G135" s="38">
        <v>8.8999999999999996E-2</v>
      </c>
      <c r="H135" s="37">
        <v>9.1999999999999998E-2</v>
      </c>
      <c r="I135" s="38">
        <v>0.1</v>
      </c>
      <c r="J135" s="37"/>
      <c r="K135" s="37">
        <v>0.108</v>
      </c>
      <c r="L135" s="37">
        <v>0.11899999999999999</v>
      </c>
      <c r="M135" s="37">
        <v>0.13</v>
      </c>
      <c r="N135" s="36">
        <v>0.13100000000000001</v>
      </c>
      <c r="O135" s="36">
        <v>0.14899999999999999</v>
      </c>
      <c r="P135" s="44"/>
      <c r="Q135" s="44"/>
      <c r="R135" s="44"/>
      <c r="S135" s="44"/>
      <c r="T135" s="44"/>
      <c r="U135" s="36"/>
      <c r="V135" s="36"/>
      <c r="W135" s="36"/>
      <c r="X135" s="36"/>
      <c r="Y135" s="36"/>
      <c r="Z135" s="36"/>
      <c r="AA135" s="36"/>
      <c r="AB135" s="58" t="s">
        <v>331</v>
      </c>
      <c r="AC135" s="36"/>
    </row>
    <row r="136" spans="1:29" outlineLevel="1">
      <c r="A136" s="36" t="s">
        <v>306</v>
      </c>
      <c r="B136" s="36" t="s">
        <v>332</v>
      </c>
      <c r="C136" s="36" t="s">
        <v>300</v>
      </c>
      <c r="D136" s="36"/>
      <c r="E136" s="36" t="s">
        <v>328</v>
      </c>
      <c r="F136" s="39">
        <v>65</v>
      </c>
      <c r="G136" s="36"/>
      <c r="H136" s="36"/>
      <c r="I136" s="38">
        <v>0.123</v>
      </c>
      <c r="J136" s="42"/>
      <c r="K136" s="42"/>
      <c r="L136" s="38">
        <v>0.14599999999999999</v>
      </c>
      <c r="M136" s="38">
        <v>0.161</v>
      </c>
      <c r="N136" s="37">
        <v>0.16200000000000001</v>
      </c>
      <c r="O136" s="37">
        <v>0.184</v>
      </c>
      <c r="P136" s="37">
        <v>0.20499999999999999</v>
      </c>
      <c r="Q136" s="37">
        <v>0.22700000000000001</v>
      </c>
      <c r="R136" s="37">
        <v>0.27</v>
      </c>
      <c r="S136" s="37">
        <v>0.312</v>
      </c>
      <c r="T136" s="37">
        <v>0.35599999999999998</v>
      </c>
      <c r="U136" s="36"/>
      <c r="V136" s="36"/>
      <c r="W136" s="36"/>
      <c r="X136" s="36"/>
      <c r="Y136" s="36"/>
      <c r="Z136" s="36"/>
      <c r="AA136" s="36"/>
      <c r="AB136" s="58" t="s">
        <v>331</v>
      </c>
      <c r="AC136" s="36"/>
    </row>
    <row r="137" spans="1:29" outlineLevel="1">
      <c r="A137" s="36" t="s">
        <v>306</v>
      </c>
      <c r="B137" s="36" t="s">
        <v>332</v>
      </c>
      <c r="C137" s="36" t="s">
        <v>300</v>
      </c>
      <c r="D137" s="36"/>
      <c r="E137" s="36" t="s">
        <v>328</v>
      </c>
      <c r="F137" s="39">
        <v>75</v>
      </c>
      <c r="G137" s="36"/>
      <c r="H137" s="36"/>
      <c r="I137" s="36"/>
      <c r="J137" s="36"/>
      <c r="K137" s="37">
        <v>0.14899999999999999</v>
      </c>
      <c r="L137" s="38">
        <v>0.16400000000000001</v>
      </c>
      <c r="M137" s="38">
        <v>0.18099999999999999</v>
      </c>
      <c r="N137" s="38">
        <v>0.182</v>
      </c>
      <c r="O137" s="43"/>
      <c r="P137" s="38">
        <v>0.23</v>
      </c>
      <c r="Q137" s="38">
        <v>0.255</v>
      </c>
      <c r="R137" s="42"/>
      <c r="S137" s="42"/>
      <c r="T137" s="42"/>
      <c r="U137" s="36"/>
      <c r="V137" s="36"/>
      <c r="W137" s="36"/>
      <c r="X137" s="36"/>
      <c r="Y137" s="36"/>
      <c r="Z137" s="36"/>
      <c r="AA137" s="36"/>
      <c r="AB137" s="58" t="s">
        <v>331</v>
      </c>
      <c r="AC137" s="36"/>
    </row>
    <row r="138" spans="1:29" outlineLevel="1">
      <c r="A138" s="36" t="s">
        <v>306</v>
      </c>
      <c r="B138" s="36" t="s">
        <v>332</v>
      </c>
      <c r="C138" s="36" t="s">
        <v>300</v>
      </c>
      <c r="D138" s="36"/>
      <c r="E138" s="36" t="s">
        <v>328</v>
      </c>
      <c r="F138" s="41">
        <v>100</v>
      </c>
      <c r="G138" s="36"/>
      <c r="H138" s="36"/>
      <c r="I138" s="36"/>
      <c r="J138" s="36"/>
      <c r="K138" s="36"/>
      <c r="L138" s="36"/>
      <c r="M138" s="36"/>
      <c r="N138" s="36"/>
      <c r="O138" s="37">
        <v>0.26</v>
      </c>
      <c r="P138" s="38">
        <v>0.28999999999999998</v>
      </c>
      <c r="Q138" s="38">
        <v>0.32100000000000001</v>
      </c>
      <c r="R138" s="37">
        <v>0.38</v>
      </c>
      <c r="S138" s="37">
        <v>0.441</v>
      </c>
      <c r="T138" s="37">
        <v>0.502</v>
      </c>
      <c r="U138" s="36"/>
      <c r="V138" s="36"/>
      <c r="W138" s="36"/>
      <c r="X138" s="36"/>
      <c r="Y138" s="36"/>
      <c r="Z138" s="36"/>
      <c r="AA138" s="36">
        <v>0.23499999999999999</v>
      </c>
      <c r="AB138" s="58" t="s">
        <v>331</v>
      </c>
      <c r="AC138" s="36"/>
    </row>
    <row r="139" spans="1:29" outlineLevel="1">
      <c r="A139" s="36" t="s">
        <v>306</v>
      </c>
      <c r="B139" s="36" t="s">
        <v>332</v>
      </c>
      <c r="C139" s="36" t="s">
        <v>300</v>
      </c>
      <c r="D139" s="36"/>
      <c r="E139" s="36" t="s">
        <v>328</v>
      </c>
      <c r="F139" s="39">
        <v>125</v>
      </c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>
        <v>0.27800000000000002</v>
      </c>
      <c r="AB139" s="58" t="s">
        <v>331</v>
      </c>
      <c r="AC139" s="36"/>
    </row>
    <row r="140" spans="1:29" outlineLevel="1">
      <c r="A140" s="36" t="s">
        <v>306</v>
      </c>
      <c r="B140" s="36" t="s">
        <v>332</v>
      </c>
      <c r="C140" s="36" t="s">
        <v>300</v>
      </c>
      <c r="D140" s="36"/>
      <c r="E140" s="36" t="s">
        <v>328</v>
      </c>
      <c r="F140" s="39">
        <v>150</v>
      </c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>
        <v>0.27800000000000002</v>
      </c>
      <c r="AB140" s="58" t="s">
        <v>331</v>
      </c>
      <c r="AC140" s="36"/>
    </row>
    <row r="141" spans="1:29" outlineLevel="1">
      <c r="A141" s="54" t="s">
        <v>331</v>
      </c>
      <c r="B141" s="54" t="s">
        <v>331</v>
      </c>
      <c r="C141" s="54" t="s">
        <v>331</v>
      </c>
      <c r="D141" s="54" t="s">
        <v>331</v>
      </c>
      <c r="E141" s="54" t="s">
        <v>331</v>
      </c>
      <c r="F141" s="54" t="s">
        <v>331</v>
      </c>
      <c r="G141" s="54" t="s">
        <v>331</v>
      </c>
      <c r="H141" s="54" t="s">
        <v>331</v>
      </c>
      <c r="I141" s="54" t="s">
        <v>331</v>
      </c>
      <c r="J141" s="54" t="s">
        <v>331</v>
      </c>
      <c r="K141" s="54" t="s">
        <v>331</v>
      </c>
      <c r="L141" s="54" t="s">
        <v>331</v>
      </c>
      <c r="M141" s="54" t="s">
        <v>331</v>
      </c>
      <c r="N141" s="54" t="s">
        <v>331</v>
      </c>
      <c r="O141" s="54" t="s">
        <v>331</v>
      </c>
      <c r="P141" s="54" t="s">
        <v>331</v>
      </c>
      <c r="Q141" s="54" t="s">
        <v>331</v>
      </c>
      <c r="R141" s="54" t="s">
        <v>331</v>
      </c>
      <c r="S141" s="54" t="s">
        <v>331</v>
      </c>
      <c r="T141" s="54" t="s">
        <v>331</v>
      </c>
      <c r="U141" s="54" t="s">
        <v>331</v>
      </c>
      <c r="V141" s="54" t="s">
        <v>331</v>
      </c>
      <c r="W141" s="54" t="s">
        <v>331</v>
      </c>
      <c r="X141" s="54" t="s">
        <v>331</v>
      </c>
      <c r="Y141" s="54" t="s">
        <v>331</v>
      </c>
      <c r="Z141" s="54" t="s">
        <v>331</v>
      </c>
      <c r="AA141" s="54" t="s">
        <v>331</v>
      </c>
      <c r="AB141" s="54" t="s">
        <v>331</v>
      </c>
      <c r="AC141" s="36"/>
    </row>
    <row r="142" spans="1:29" outlineLevel="1">
      <c r="A142" s="36" t="s">
        <v>306</v>
      </c>
      <c r="B142" s="36" t="s">
        <v>332</v>
      </c>
      <c r="C142" s="36" t="s">
        <v>299</v>
      </c>
      <c r="D142" s="36"/>
      <c r="E142" s="36" t="s">
        <v>323</v>
      </c>
      <c r="F142" s="36">
        <v>25</v>
      </c>
      <c r="G142" s="36">
        <v>0.06</v>
      </c>
      <c r="H142" s="36">
        <v>6.5000000000000002E-2</v>
      </c>
      <c r="I142" s="36">
        <v>7.0000000000000007E-2</v>
      </c>
      <c r="J142" s="36"/>
      <c r="K142" s="36">
        <v>8.1000000000000003E-2</v>
      </c>
      <c r="L142" s="36">
        <v>0.09</v>
      </c>
      <c r="M142" s="36">
        <v>0.10299999999999999</v>
      </c>
      <c r="N142" s="36">
        <v>0.113</v>
      </c>
      <c r="O142" s="36">
        <v>0.13300000000000001</v>
      </c>
      <c r="P142" s="36">
        <v>0.153</v>
      </c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58" t="s">
        <v>331</v>
      </c>
      <c r="AC142" s="36"/>
    </row>
    <row r="143" spans="1:29" outlineLevel="1">
      <c r="A143" s="36" t="s">
        <v>306</v>
      </c>
      <c r="B143" s="36" t="s">
        <v>332</v>
      </c>
      <c r="C143" s="36" t="s">
        <v>299</v>
      </c>
      <c r="D143" s="36"/>
      <c r="E143" s="36" t="s">
        <v>323</v>
      </c>
      <c r="F143" s="39">
        <v>30</v>
      </c>
      <c r="G143" s="36">
        <v>6.6000000000000003E-2</v>
      </c>
      <c r="H143" s="36">
        <v>7.0999999999999994E-2</v>
      </c>
      <c r="I143" s="36">
        <v>7.5999999999999998E-2</v>
      </c>
      <c r="J143" s="36"/>
      <c r="K143" s="36">
        <v>8.8999999999999996E-2</v>
      </c>
      <c r="L143" s="36">
        <v>9.6000000000000002E-2</v>
      </c>
      <c r="M143" s="36">
        <v>0.109</v>
      </c>
      <c r="N143" s="36">
        <v>0.11899999999999999</v>
      </c>
      <c r="O143" s="36">
        <v>0.13900000000000001</v>
      </c>
      <c r="P143" s="36">
        <v>0.159</v>
      </c>
      <c r="Q143" s="36">
        <v>0.17899999999999999</v>
      </c>
      <c r="R143" s="36">
        <v>0.22</v>
      </c>
      <c r="S143" s="36">
        <v>0.26</v>
      </c>
      <c r="T143" s="36">
        <v>0.30099999999999999</v>
      </c>
      <c r="U143" s="36"/>
      <c r="V143" s="36"/>
      <c r="W143" s="36"/>
      <c r="X143" s="36"/>
      <c r="Y143" s="36"/>
      <c r="Z143" s="36"/>
      <c r="AA143" s="36">
        <v>0.252</v>
      </c>
      <c r="AB143" s="58" t="s">
        <v>331</v>
      </c>
      <c r="AC143" s="36"/>
    </row>
    <row r="144" spans="1:29" outlineLevel="1">
      <c r="A144" s="36" t="s">
        <v>306</v>
      </c>
      <c r="B144" s="36" t="s">
        <v>332</v>
      </c>
      <c r="C144" s="36" t="s">
        <v>299</v>
      </c>
      <c r="D144" s="36"/>
      <c r="E144" s="36" t="s">
        <v>323</v>
      </c>
      <c r="F144" s="39">
        <v>40</v>
      </c>
      <c r="G144" s="36">
        <v>8.1000000000000003E-2</v>
      </c>
      <c r="H144" s="36">
        <v>8.5999999999999993E-2</v>
      </c>
      <c r="I144" s="36">
        <v>9.0999999999999998E-2</v>
      </c>
      <c r="J144" s="36"/>
      <c r="K144" s="36">
        <v>0.104</v>
      </c>
      <c r="L144" s="36">
        <v>0.114</v>
      </c>
      <c r="M144" s="36">
        <v>0.126</v>
      </c>
      <c r="N144" s="36">
        <v>0.13700000000000001</v>
      </c>
      <c r="O144" s="36">
        <v>0.157</v>
      </c>
      <c r="P144" s="36">
        <v>0.17699999999999999</v>
      </c>
      <c r="Q144" s="36">
        <v>0.19700000000000001</v>
      </c>
      <c r="R144" s="36">
        <v>0.23499999999999999</v>
      </c>
      <c r="S144" s="36">
        <v>0.27500000000000002</v>
      </c>
      <c r="T144" s="36">
        <v>0.315</v>
      </c>
      <c r="U144" s="36"/>
      <c r="V144" s="36"/>
      <c r="W144" s="36"/>
      <c r="X144" s="36"/>
      <c r="Y144" s="36"/>
      <c r="Z144" s="36"/>
      <c r="AA144" s="36">
        <v>0.252</v>
      </c>
      <c r="AB144" s="58" t="s">
        <v>331</v>
      </c>
      <c r="AC144" s="36"/>
    </row>
    <row r="145" spans="1:29" outlineLevel="1">
      <c r="A145" s="36" t="s">
        <v>306</v>
      </c>
      <c r="B145" s="36" t="s">
        <v>332</v>
      </c>
      <c r="C145" s="36" t="s">
        <v>299</v>
      </c>
      <c r="D145" s="36"/>
      <c r="E145" s="36" t="s">
        <v>323</v>
      </c>
      <c r="F145" s="39">
        <v>50</v>
      </c>
      <c r="G145" s="36">
        <v>9.9000000000000005E-2</v>
      </c>
      <c r="H145" s="36">
        <v>0.10100000000000001</v>
      </c>
      <c r="I145" s="36">
        <v>0.109</v>
      </c>
      <c r="J145" s="36"/>
      <c r="K145" s="36">
        <v>0.11899999999999999</v>
      </c>
      <c r="L145" s="36">
        <v>0.129</v>
      </c>
      <c r="M145" s="36">
        <v>0.14099999999999999</v>
      </c>
      <c r="N145" s="36">
        <v>0.152</v>
      </c>
      <c r="O145" s="36">
        <v>0.17199999999999999</v>
      </c>
      <c r="P145" s="36">
        <v>0.192</v>
      </c>
      <c r="Q145" s="36">
        <v>0.21199999999999999</v>
      </c>
      <c r="R145" s="36">
        <v>0.252</v>
      </c>
      <c r="S145" s="36">
        <v>0.29299999999999998</v>
      </c>
      <c r="T145" s="36">
        <v>0.33300000000000002</v>
      </c>
      <c r="U145" s="36"/>
      <c r="V145" s="36"/>
      <c r="W145" s="36"/>
      <c r="X145" s="36"/>
      <c r="Y145" s="36"/>
      <c r="Z145" s="36"/>
      <c r="AA145" s="36">
        <v>0.252</v>
      </c>
      <c r="AB145" s="58" t="s">
        <v>331</v>
      </c>
      <c r="AC145" s="36"/>
    </row>
    <row r="146" spans="1:29" outlineLevel="1">
      <c r="A146" s="36" t="s">
        <v>306</v>
      </c>
      <c r="B146" s="36" t="s">
        <v>332</v>
      </c>
      <c r="C146" s="36" t="s">
        <v>299</v>
      </c>
      <c r="D146" s="36"/>
      <c r="E146" s="36" t="s">
        <v>323</v>
      </c>
      <c r="F146" s="39">
        <v>65</v>
      </c>
      <c r="G146" s="37">
        <v>0.123</v>
      </c>
      <c r="H146" s="37">
        <v>0.125</v>
      </c>
      <c r="I146" s="37">
        <v>0.13500000000000001</v>
      </c>
      <c r="J146" s="37"/>
      <c r="K146" s="37">
        <v>0.14699999999999999</v>
      </c>
      <c r="L146" s="37">
        <v>0.16</v>
      </c>
      <c r="M146" s="37">
        <v>0.17399999999999999</v>
      </c>
      <c r="N146" s="36">
        <v>0.17499999999999999</v>
      </c>
      <c r="O146" s="36">
        <v>0.19500000000000001</v>
      </c>
      <c r="P146" s="36">
        <v>0.215</v>
      </c>
      <c r="Q146" s="36">
        <v>0.23499999999999999</v>
      </c>
      <c r="R146" s="36">
        <v>0.27500000000000002</v>
      </c>
      <c r="S146" s="36">
        <v>0.315</v>
      </c>
      <c r="T146" s="36">
        <v>0.35599999999999998</v>
      </c>
      <c r="U146" s="36"/>
      <c r="V146" s="36"/>
      <c r="W146" s="36"/>
      <c r="X146" s="36"/>
      <c r="Y146" s="36"/>
      <c r="Z146" s="36"/>
      <c r="AA146" s="36">
        <v>0.252</v>
      </c>
      <c r="AB146" s="58" t="s">
        <v>331</v>
      </c>
      <c r="AC146" s="36"/>
    </row>
    <row r="147" spans="1:29" outlineLevel="1">
      <c r="A147" s="36" t="s">
        <v>306</v>
      </c>
      <c r="B147" s="36" t="s">
        <v>332</v>
      </c>
      <c r="C147" s="36" t="s">
        <v>299</v>
      </c>
      <c r="D147" s="36"/>
      <c r="E147" s="36" t="s">
        <v>323</v>
      </c>
      <c r="F147" s="39">
        <v>75</v>
      </c>
      <c r="G147" s="36"/>
      <c r="H147" s="36"/>
      <c r="I147" s="36"/>
      <c r="J147" s="36"/>
      <c r="K147" s="38">
        <v>0.16500000000000001</v>
      </c>
      <c r="L147" s="38">
        <v>0.17899999999999999</v>
      </c>
      <c r="M147" s="38">
        <v>0.19500000000000001</v>
      </c>
      <c r="N147" s="37">
        <v>0.19700000000000001</v>
      </c>
      <c r="O147" s="37">
        <v>0.219</v>
      </c>
      <c r="P147" s="37">
        <v>0.24099999999999999</v>
      </c>
      <c r="Q147" s="36">
        <v>0.252</v>
      </c>
      <c r="R147" s="36">
        <v>0.28999999999999998</v>
      </c>
      <c r="S147" s="36">
        <v>0.33</v>
      </c>
      <c r="T147" s="36">
        <v>0.371</v>
      </c>
      <c r="U147" s="36"/>
      <c r="V147" s="36"/>
      <c r="W147" s="36"/>
      <c r="X147" s="36"/>
      <c r="Y147" s="36"/>
      <c r="Z147" s="36"/>
      <c r="AA147" s="36">
        <v>0.252</v>
      </c>
      <c r="AB147" s="58" t="s">
        <v>331</v>
      </c>
      <c r="AC147" s="36"/>
    </row>
    <row r="148" spans="1:29" outlineLevel="1">
      <c r="A148" s="36" t="s">
        <v>306</v>
      </c>
      <c r="B148" s="36" t="s">
        <v>332</v>
      </c>
      <c r="C148" s="36" t="s">
        <v>299</v>
      </c>
      <c r="D148" s="36"/>
      <c r="E148" s="36" t="s">
        <v>323</v>
      </c>
      <c r="F148" s="39">
        <v>100</v>
      </c>
      <c r="G148" s="36"/>
      <c r="H148" s="36"/>
      <c r="I148" s="36"/>
      <c r="J148" s="36"/>
      <c r="K148" s="36"/>
      <c r="L148" s="36"/>
      <c r="M148" s="38">
        <v>0.246</v>
      </c>
      <c r="N148" s="38">
        <v>0.247</v>
      </c>
      <c r="O148" s="38">
        <v>0.27600000000000002</v>
      </c>
      <c r="P148" s="38">
        <v>0.30399999999999999</v>
      </c>
      <c r="Q148" s="37">
        <v>0.318</v>
      </c>
      <c r="R148" s="37">
        <v>0.36599999999999999</v>
      </c>
      <c r="S148" s="37">
        <v>0.41599999999999998</v>
      </c>
      <c r="T148" s="37">
        <v>0.46700000000000003</v>
      </c>
      <c r="U148" s="36"/>
      <c r="V148" s="36"/>
      <c r="W148" s="36"/>
      <c r="X148" s="36"/>
      <c r="Y148" s="36"/>
      <c r="Z148" s="36"/>
      <c r="AA148" s="36">
        <v>0.30299999999999999</v>
      </c>
      <c r="AB148" s="58" t="s">
        <v>331</v>
      </c>
      <c r="AC148" s="36"/>
    </row>
    <row r="149" spans="1:29" outlineLevel="1">
      <c r="A149" s="36" t="s">
        <v>306</v>
      </c>
      <c r="B149" s="36" t="s">
        <v>332</v>
      </c>
      <c r="C149" s="36" t="s">
        <v>299</v>
      </c>
      <c r="D149" s="36"/>
      <c r="E149" s="36" t="s">
        <v>323</v>
      </c>
      <c r="F149" s="39">
        <v>125</v>
      </c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8">
        <v>0.55900000000000005</v>
      </c>
      <c r="U149" s="36"/>
      <c r="V149" s="36"/>
      <c r="W149" s="36"/>
      <c r="X149" s="36"/>
      <c r="Y149" s="36"/>
      <c r="Z149" s="36"/>
      <c r="AA149" s="37">
        <v>0.36299999999999999</v>
      </c>
      <c r="AB149" s="58" t="s">
        <v>331</v>
      </c>
      <c r="AC149" s="36"/>
    </row>
    <row r="150" spans="1:29" outlineLevel="1">
      <c r="A150" s="36" t="s">
        <v>306</v>
      </c>
      <c r="B150" s="36" t="s">
        <v>332</v>
      </c>
      <c r="C150" s="36" t="s">
        <v>299</v>
      </c>
      <c r="D150" s="36"/>
      <c r="E150" s="36" t="s">
        <v>323</v>
      </c>
      <c r="F150" s="39">
        <v>140</v>
      </c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8">
        <v>0.4</v>
      </c>
      <c r="AB150" s="58" t="s">
        <v>331</v>
      </c>
      <c r="AC150" s="36"/>
    </row>
    <row r="151" spans="1:29" outlineLevel="1">
      <c r="A151" s="54" t="s">
        <v>331</v>
      </c>
      <c r="B151" s="54" t="s">
        <v>331</v>
      </c>
      <c r="C151" s="54" t="s">
        <v>331</v>
      </c>
      <c r="D151" s="54" t="s">
        <v>331</v>
      </c>
      <c r="E151" s="54" t="s">
        <v>331</v>
      </c>
      <c r="F151" s="54" t="s">
        <v>331</v>
      </c>
      <c r="G151" s="54" t="s">
        <v>331</v>
      </c>
      <c r="H151" s="54" t="s">
        <v>331</v>
      </c>
      <c r="I151" s="54" t="s">
        <v>331</v>
      </c>
      <c r="J151" s="54" t="s">
        <v>331</v>
      </c>
      <c r="K151" s="54" t="s">
        <v>331</v>
      </c>
      <c r="L151" s="54" t="s">
        <v>331</v>
      </c>
      <c r="M151" s="54" t="s">
        <v>331</v>
      </c>
      <c r="N151" s="54" t="s">
        <v>331</v>
      </c>
      <c r="O151" s="54" t="s">
        <v>331</v>
      </c>
      <c r="P151" s="54" t="s">
        <v>331</v>
      </c>
      <c r="Q151" s="54" t="s">
        <v>331</v>
      </c>
      <c r="R151" s="54" t="s">
        <v>331</v>
      </c>
      <c r="S151" s="54" t="s">
        <v>331</v>
      </c>
      <c r="T151" s="54" t="s">
        <v>331</v>
      </c>
      <c r="U151" s="54" t="s">
        <v>331</v>
      </c>
      <c r="V151" s="54" t="s">
        <v>331</v>
      </c>
      <c r="W151" s="54" t="s">
        <v>331</v>
      </c>
      <c r="X151" s="54" t="s">
        <v>331</v>
      </c>
      <c r="Y151" s="54" t="s">
        <v>331</v>
      </c>
      <c r="Z151" s="54" t="s">
        <v>331</v>
      </c>
      <c r="AA151" s="54" t="s">
        <v>331</v>
      </c>
      <c r="AB151" s="54" t="s">
        <v>331</v>
      </c>
      <c r="AC151" s="36"/>
    </row>
    <row r="152" spans="1:29" outlineLevel="1">
      <c r="A152" s="36" t="s">
        <v>306</v>
      </c>
      <c r="B152" s="36" t="s">
        <v>332</v>
      </c>
      <c r="C152" s="36" t="s">
        <v>297</v>
      </c>
      <c r="D152" s="36"/>
      <c r="E152" s="36" t="s">
        <v>329</v>
      </c>
      <c r="F152" s="36">
        <v>30</v>
      </c>
      <c r="G152" s="36">
        <v>7.2999999999999995E-2</v>
      </c>
      <c r="H152" s="36">
        <v>7.8E-2</v>
      </c>
      <c r="I152" s="36">
        <v>8.4000000000000005E-2</v>
      </c>
      <c r="J152" s="36"/>
      <c r="K152" s="36">
        <v>9.8000000000000004E-2</v>
      </c>
      <c r="L152" s="36">
        <v>0.106</v>
      </c>
      <c r="M152" s="36">
        <v>0.12</v>
      </c>
      <c r="N152" s="36">
        <v>0.13100000000000001</v>
      </c>
      <c r="O152" s="36">
        <v>0.154</v>
      </c>
      <c r="P152" s="36">
        <v>0.17599999999999999</v>
      </c>
      <c r="Q152" s="36">
        <v>0.19800000000000001</v>
      </c>
      <c r="R152" s="36">
        <v>0.24299999999999999</v>
      </c>
      <c r="S152" s="36">
        <v>0.28699999999999998</v>
      </c>
      <c r="T152" s="36">
        <v>0.33100000000000002</v>
      </c>
      <c r="U152" s="36"/>
      <c r="V152" s="36"/>
      <c r="W152" s="36"/>
      <c r="X152" s="36"/>
      <c r="Y152" s="36"/>
      <c r="Z152" s="36"/>
      <c r="AA152" s="36">
        <v>0.27800000000000002</v>
      </c>
      <c r="AB152" s="58" t="s">
        <v>331</v>
      </c>
      <c r="AC152" s="36"/>
    </row>
    <row r="153" spans="1:29" outlineLevel="1">
      <c r="A153" s="36" t="s">
        <v>306</v>
      </c>
      <c r="B153" s="36" t="s">
        <v>332</v>
      </c>
      <c r="C153" s="36" t="s">
        <v>297</v>
      </c>
      <c r="D153" s="36"/>
      <c r="E153" s="36" t="s">
        <v>329</v>
      </c>
      <c r="F153" s="36">
        <v>40</v>
      </c>
      <c r="G153" s="36">
        <v>0.09</v>
      </c>
      <c r="H153" s="36">
        <v>9.5000000000000001E-2</v>
      </c>
      <c r="I153" s="36">
        <v>0.10100000000000001</v>
      </c>
      <c r="J153" s="36"/>
      <c r="K153" s="36">
        <v>0.115</v>
      </c>
      <c r="L153" s="36">
        <v>0.126</v>
      </c>
      <c r="M153" s="36">
        <v>0.14000000000000001</v>
      </c>
      <c r="N153" s="36">
        <v>0.151</v>
      </c>
      <c r="O153" s="36">
        <v>0.17299999999999999</v>
      </c>
      <c r="P153" s="36">
        <v>0.19500000000000001</v>
      </c>
      <c r="Q153" s="36">
        <v>0.218</v>
      </c>
      <c r="R153" s="36">
        <v>0.26</v>
      </c>
      <c r="S153" s="36">
        <v>0.30299999999999999</v>
      </c>
      <c r="T153" s="36">
        <v>0.34699999999999998</v>
      </c>
      <c r="U153" s="36"/>
      <c r="V153" s="36"/>
      <c r="W153" s="36"/>
      <c r="X153" s="36"/>
      <c r="Y153" s="36"/>
      <c r="Z153" s="36"/>
      <c r="AA153" s="36">
        <v>0.27800000000000002</v>
      </c>
      <c r="AB153" s="58" t="s">
        <v>331</v>
      </c>
      <c r="AC153" s="36"/>
    </row>
    <row r="154" spans="1:29" outlineLevel="1">
      <c r="A154" s="36" t="s">
        <v>306</v>
      </c>
      <c r="B154" s="36" t="s">
        <v>332</v>
      </c>
      <c r="C154" s="36" t="s">
        <v>297</v>
      </c>
      <c r="D154" s="36"/>
      <c r="E154" s="36" t="s">
        <v>329</v>
      </c>
      <c r="F154" s="36">
        <v>50</v>
      </c>
      <c r="G154" s="36">
        <v>0.109</v>
      </c>
      <c r="H154" s="36">
        <v>0.112</v>
      </c>
      <c r="I154" s="36">
        <v>0.12</v>
      </c>
      <c r="J154" s="36"/>
      <c r="K154" s="36">
        <v>0.13100000000000001</v>
      </c>
      <c r="L154" s="36">
        <v>0.14299999999999999</v>
      </c>
      <c r="M154" s="36">
        <v>0.157</v>
      </c>
      <c r="N154" s="36">
        <v>0.16800000000000001</v>
      </c>
      <c r="O154" s="36">
        <v>0.19</v>
      </c>
      <c r="P154" s="36">
        <v>0.21199999999999999</v>
      </c>
      <c r="Q154" s="36">
        <v>0.23400000000000001</v>
      </c>
      <c r="R154" s="36">
        <v>0.27900000000000003</v>
      </c>
      <c r="S154" s="36">
        <v>0.32200000000000001</v>
      </c>
      <c r="T154" s="36">
        <v>0.36699999999999999</v>
      </c>
      <c r="U154" s="36"/>
      <c r="V154" s="36"/>
      <c r="W154" s="36"/>
      <c r="X154" s="36"/>
      <c r="Y154" s="36"/>
      <c r="Z154" s="36"/>
      <c r="AA154" s="36">
        <v>0.27800000000000002</v>
      </c>
      <c r="AB154" s="58" t="s">
        <v>331</v>
      </c>
      <c r="AC154" s="36"/>
    </row>
    <row r="155" spans="1:29" outlineLevel="1">
      <c r="A155" s="36" t="s">
        <v>306</v>
      </c>
      <c r="B155" s="36" t="s">
        <v>332</v>
      </c>
      <c r="C155" s="36" t="s">
        <v>297</v>
      </c>
      <c r="D155" s="36"/>
      <c r="E155" s="36" t="s">
        <v>329</v>
      </c>
      <c r="F155" s="36">
        <v>65</v>
      </c>
      <c r="G155" s="36">
        <v>0.13400000000000001</v>
      </c>
      <c r="H155" s="36">
        <v>0.14000000000000001</v>
      </c>
      <c r="I155" s="36">
        <v>0.14199999999999999</v>
      </c>
      <c r="J155" s="36"/>
      <c r="K155" s="36">
        <v>0.158</v>
      </c>
      <c r="L155" s="36">
        <v>0.16800000000000001</v>
      </c>
      <c r="M155" s="36">
        <v>0.182</v>
      </c>
      <c r="N155" s="36">
        <v>0.193</v>
      </c>
      <c r="O155" s="36">
        <v>0.215</v>
      </c>
      <c r="P155" s="36">
        <v>0.23699999999999999</v>
      </c>
      <c r="Q155" s="36">
        <v>0.26</v>
      </c>
      <c r="R155" s="36">
        <v>0.30399999999999999</v>
      </c>
      <c r="S155" s="36">
        <v>0.34699999999999998</v>
      </c>
      <c r="T155" s="36">
        <v>0.39200000000000002</v>
      </c>
      <c r="U155" s="36"/>
      <c r="V155" s="36"/>
      <c r="W155" s="36"/>
      <c r="X155" s="36"/>
      <c r="Y155" s="36"/>
      <c r="Z155" s="36"/>
      <c r="AA155" s="36">
        <v>0.27800000000000002</v>
      </c>
      <c r="AB155" s="58" t="s">
        <v>331</v>
      </c>
      <c r="AC155" s="36"/>
    </row>
    <row r="156" spans="1:29" outlineLevel="1">
      <c r="A156" s="36" t="s">
        <v>306</v>
      </c>
      <c r="B156" s="36" t="s">
        <v>332</v>
      </c>
      <c r="C156" s="36" t="s">
        <v>297</v>
      </c>
      <c r="D156" s="36"/>
      <c r="E156" s="36" t="s">
        <v>329</v>
      </c>
      <c r="F156" s="36">
        <v>75</v>
      </c>
      <c r="G156" s="36"/>
      <c r="H156" s="37">
        <v>0.157</v>
      </c>
      <c r="I156" s="37">
        <v>0.16</v>
      </c>
      <c r="J156" s="37"/>
      <c r="K156" s="37">
        <v>0.17799999999999999</v>
      </c>
      <c r="L156" s="37">
        <v>0.189</v>
      </c>
      <c r="M156" s="37">
        <v>0.20399999999999999</v>
      </c>
      <c r="N156" s="36">
        <v>0.21199999999999999</v>
      </c>
      <c r="O156" s="36">
        <v>0.23400000000000001</v>
      </c>
      <c r="P156" s="36">
        <v>0.25700000000000001</v>
      </c>
      <c r="Q156" s="36">
        <v>0.27900000000000003</v>
      </c>
      <c r="R156" s="36">
        <v>0.32100000000000001</v>
      </c>
      <c r="S156" s="36">
        <v>0.36399999999999999</v>
      </c>
      <c r="T156" s="36">
        <v>0.40799999999999997</v>
      </c>
      <c r="U156" s="36"/>
      <c r="V156" s="36"/>
      <c r="W156" s="36"/>
      <c r="X156" s="36"/>
      <c r="Y156" s="36"/>
      <c r="Z156" s="36"/>
      <c r="AA156" s="36">
        <v>0.27800000000000002</v>
      </c>
      <c r="AB156" s="58" t="s">
        <v>331</v>
      </c>
      <c r="AC156" s="36"/>
    </row>
    <row r="157" spans="1:29" outlineLevel="1">
      <c r="A157" s="36" t="s">
        <v>306</v>
      </c>
      <c r="B157" s="36" t="s">
        <v>332</v>
      </c>
      <c r="C157" s="36" t="s">
        <v>297</v>
      </c>
      <c r="D157" s="36"/>
      <c r="E157" s="36" t="s">
        <v>329</v>
      </c>
      <c r="F157" s="36">
        <v>100</v>
      </c>
      <c r="G157" s="36"/>
      <c r="H157" s="36"/>
      <c r="I157" s="36"/>
      <c r="J157" s="36"/>
      <c r="K157" s="36"/>
      <c r="L157" s="38">
        <v>0.23699999999999999</v>
      </c>
      <c r="M157" s="38">
        <v>0.25700000000000001</v>
      </c>
      <c r="N157" s="37">
        <v>0.26700000000000002</v>
      </c>
      <c r="O157" s="37">
        <v>0.29499999999999998</v>
      </c>
      <c r="P157" s="37">
        <v>0.32400000000000001</v>
      </c>
      <c r="Q157" s="37">
        <v>0.35199999999999998</v>
      </c>
      <c r="R157" s="36">
        <v>0.36499999999999999</v>
      </c>
      <c r="S157" s="36">
        <v>0.40799999999999997</v>
      </c>
      <c r="T157" s="36">
        <v>0.55700000000000005</v>
      </c>
      <c r="U157" s="36"/>
      <c r="V157" s="36"/>
      <c r="W157" s="36"/>
      <c r="X157" s="36"/>
      <c r="Y157" s="36"/>
      <c r="Z157" s="36"/>
      <c r="AA157" s="36">
        <v>0.34200000000000003</v>
      </c>
      <c r="AB157" s="58" t="s">
        <v>331</v>
      </c>
      <c r="AC157" s="36"/>
    </row>
    <row r="158" spans="1:29" outlineLevel="1">
      <c r="A158" s="36" t="s">
        <v>306</v>
      </c>
      <c r="B158" s="36" t="s">
        <v>332</v>
      </c>
      <c r="C158" s="36" t="s">
        <v>297</v>
      </c>
      <c r="D158" s="36"/>
      <c r="E158" s="36" t="s">
        <v>329</v>
      </c>
      <c r="F158" s="36">
        <v>125</v>
      </c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7">
        <v>0.437</v>
      </c>
      <c r="S158" s="37">
        <v>0.48799999999999999</v>
      </c>
      <c r="T158" s="37">
        <v>0.66600000000000004</v>
      </c>
      <c r="U158" s="36"/>
      <c r="V158" s="36"/>
      <c r="W158" s="36"/>
      <c r="X158" s="36"/>
      <c r="Y158" s="36"/>
      <c r="Z158" s="36"/>
      <c r="AA158" s="36">
        <v>0.40899999999999997</v>
      </c>
      <c r="AB158" s="58" t="s">
        <v>331</v>
      </c>
      <c r="AC158" s="36"/>
    </row>
    <row r="159" spans="1:29" outlineLevel="1">
      <c r="A159" s="36" t="s">
        <v>306</v>
      </c>
      <c r="B159" s="36" t="s">
        <v>332</v>
      </c>
      <c r="C159" s="36" t="s">
        <v>297</v>
      </c>
      <c r="D159" s="36"/>
      <c r="E159" s="36" t="s">
        <v>329</v>
      </c>
      <c r="F159" s="36">
        <v>140</v>
      </c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7">
        <v>0.44800000000000001</v>
      </c>
      <c r="AB159" s="58" t="s">
        <v>331</v>
      </c>
      <c r="AC159" s="36"/>
    </row>
    <row r="160" spans="1:29" outlineLevel="1">
      <c r="A160" s="54" t="s">
        <v>331</v>
      </c>
      <c r="B160" s="54" t="s">
        <v>331</v>
      </c>
      <c r="C160" s="54" t="s">
        <v>331</v>
      </c>
      <c r="D160" s="54" t="s">
        <v>331</v>
      </c>
      <c r="E160" s="54" t="s">
        <v>331</v>
      </c>
      <c r="F160" s="54" t="s">
        <v>331</v>
      </c>
      <c r="G160" s="54" t="s">
        <v>331</v>
      </c>
      <c r="H160" s="54" t="s">
        <v>331</v>
      </c>
      <c r="I160" s="54" t="s">
        <v>331</v>
      </c>
      <c r="J160" s="54" t="s">
        <v>331</v>
      </c>
      <c r="K160" s="54" t="s">
        <v>331</v>
      </c>
      <c r="L160" s="54" t="s">
        <v>331</v>
      </c>
      <c r="M160" s="54" t="s">
        <v>331</v>
      </c>
      <c r="N160" s="54" t="s">
        <v>331</v>
      </c>
      <c r="O160" s="54" t="s">
        <v>331</v>
      </c>
      <c r="P160" s="54" t="s">
        <v>331</v>
      </c>
      <c r="Q160" s="54" t="s">
        <v>331</v>
      </c>
      <c r="R160" s="54" t="s">
        <v>331</v>
      </c>
      <c r="S160" s="54" t="s">
        <v>331</v>
      </c>
      <c r="T160" s="54" t="s">
        <v>331</v>
      </c>
      <c r="U160" s="54" t="s">
        <v>331</v>
      </c>
      <c r="V160" s="54" t="s">
        <v>331</v>
      </c>
      <c r="W160" s="54" t="s">
        <v>331</v>
      </c>
      <c r="X160" s="54" t="s">
        <v>331</v>
      </c>
      <c r="Y160" s="54" t="s">
        <v>331</v>
      </c>
      <c r="Z160" s="54" t="s">
        <v>331</v>
      </c>
      <c r="AA160" s="54" t="s">
        <v>331</v>
      </c>
      <c r="AB160" s="54" t="s">
        <v>331</v>
      </c>
      <c r="AC160" s="36"/>
    </row>
    <row r="161" spans="1:29" s="53" customFormat="1">
      <c r="A161" s="33" t="s">
        <v>305</v>
      </c>
      <c r="B161" s="33"/>
      <c r="C161" s="33"/>
      <c r="D161" s="33"/>
      <c r="E161" s="33"/>
      <c r="F161" s="33"/>
      <c r="G161" s="33"/>
      <c r="H161" s="35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3"/>
      <c r="V161" s="33"/>
      <c r="W161" s="33"/>
      <c r="X161" s="33"/>
      <c r="Y161" s="33"/>
      <c r="Z161" s="33"/>
      <c r="AA161" s="34"/>
      <c r="AB161" s="54" t="s">
        <v>331</v>
      </c>
    </row>
    <row r="162" spans="1:29">
      <c r="AB162" s="54" t="s">
        <v>331</v>
      </c>
    </row>
    <row r="163" spans="1:29" outlineLevel="1">
      <c r="A163" s="36" t="s">
        <v>303</v>
      </c>
      <c r="B163" s="36" t="s">
        <v>334</v>
      </c>
      <c r="C163" s="36" t="s">
        <v>304</v>
      </c>
      <c r="D163" s="36"/>
      <c r="E163" s="36" t="s">
        <v>325</v>
      </c>
      <c r="F163" s="36">
        <v>30</v>
      </c>
      <c r="G163" s="36">
        <v>0.55000000000000004</v>
      </c>
      <c r="H163" s="36">
        <v>0.61</v>
      </c>
      <c r="I163" s="36">
        <v>0.67</v>
      </c>
      <c r="J163" s="36"/>
      <c r="K163" s="36">
        <v>0.81</v>
      </c>
      <c r="L163" s="36">
        <v>0.9</v>
      </c>
      <c r="M163" s="36">
        <v>1.04</v>
      </c>
      <c r="N163" s="36">
        <v>1.19</v>
      </c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B163" s="58" t="s">
        <v>331</v>
      </c>
      <c r="AC163" s="36"/>
    </row>
    <row r="164" spans="1:29" outlineLevel="1">
      <c r="A164" s="36" t="s">
        <v>303</v>
      </c>
      <c r="B164" s="36" t="s">
        <v>334</v>
      </c>
      <c r="C164" s="36" t="s">
        <v>304</v>
      </c>
      <c r="D164" s="36"/>
      <c r="E164" s="36" t="s">
        <v>325</v>
      </c>
      <c r="F164" s="36">
        <v>40</v>
      </c>
      <c r="G164" s="36">
        <v>0.8</v>
      </c>
      <c r="H164" s="36">
        <v>0.86</v>
      </c>
      <c r="I164" s="36">
        <v>0.93</v>
      </c>
      <c r="J164" s="36"/>
      <c r="K164" s="36">
        <v>1.1000000000000001</v>
      </c>
      <c r="L164" s="36">
        <v>1.23</v>
      </c>
      <c r="M164" s="36">
        <v>1.41</v>
      </c>
      <c r="N164" s="36">
        <v>1.55</v>
      </c>
      <c r="O164" s="36">
        <v>1.95</v>
      </c>
      <c r="P164" s="36">
        <v>2.25</v>
      </c>
      <c r="Q164" s="36">
        <v>2.5499999999999998</v>
      </c>
      <c r="S164" s="36"/>
      <c r="T164" s="36"/>
      <c r="U164" s="36"/>
      <c r="V164" s="36"/>
      <c r="W164" s="36"/>
      <c r="X164" s="36"/>
      <c r="Y164" s="36"/>
      <c r="Z164" s="36"/>
      <c r="AA164" s="36">
        <v>4</v>
      </c>
      <c r="AB164" s="58" t="s">
        <v>331</v>
      </c>
      <c r="AC164" s="36"/>
    </row>
    <row r="165" spans="1:29" outlineLevel="1">
      <c r="A165" s="36" t="s">
        <v>303</v>
      </c>
      <c r="B165" s="36" t="s">
        <v>334</v>
      </c>
      <c r="C165" s="36" t="s">
        <v>304</v>
      </c>
      <c r="D165" s="36"/>
      <c r="E165" s="36" t="s">
        <v>325</v>
      </c>
      <c r="F165" s="36">
        <v>50</v>
      </c>
      <c r="G165" s="36">
        <v>1.0900000000000001</v>
      </c>
      <c r="H165" s="36">
        <v>1.17</v>
      </c>
      <c r="I165" s="36">
        <v>1.25</v>
      </c>
      <c r="J165" s="36"/>
      <c r="K165" s="36">
        <v>1.43</v>
      </c>
      <c r="L165" s="36">
        <v>1.6</v>
      </c>
      <c r="M165" s="36">
        <v>1.8</v>
      </c>
      <c r="N165" s="36">
        <v>2.09</v>
      </c>
      <c r="O165" s="36">
        <v>2.44</v>
      </c>
      <c r="P165" s="36">
        <v>2.79</v>
      </c>
      <c r="Q165" s="36">
        <v>3.14</v>
      </c>
      <c r="R165" s="36">
        <v>3.84</v>
      </c>
      <c r="S165" s="36">
        <v>4.53</v>
      </c>
      <c r="T165" s="36">
        <v>5.23</v>
      </c>
      <c r="U165" s="36"/>
      <c r="V165" s="36"/>
      <c r="W165" s="36"/>
      <c r="X165" s="36"/>
      <c r="Y165" s="36"/>
      <c r="Z165" s="36"/>
      <c r="AA165" s="36">
        <v>4.72</v>
      </c>
      <c r="AB165" s="58" t="s">
        <v>331</v>
      </c>
      <c r="AC165" s="36"/>
    </row>
    <row r="166" spans="1:29" outlineLevel="1">
      <c r="A166" s="36" t="s">
        <v>303</v>
      </c>
      <c r="B166" s="36" t="s">
        <v>334</v>
      </c>
      <c r="C166" s="36" t="s">
        <v>304</v>
      </c>
      <c r="D166" s="36"/>
      <c r="E166" s="36" t="s">
        <v>325</v>
      </c>
      <c r="F166" s="36">
        <v>65</v>
      </c>
      <c r="G166" s="36">
        <v>1.59</v>
      </c>
      <c r="H166" s="36">
        <v>1.68</v>
      </c>
      <c r="I166" s="36">
        <v>1.79</v>
      </c>
      <c r="J166" s="36"/>
      <c r="K166" s="36">
        <v>2.0299999999999998</v>
      </c>
      <c r="L166" s="36">
        <v>2.34</v>
      </c>
      <c r="M166" s="36">
        <v>2.61</v>
      </c>
      <c r="N166" s="36">
        <v>2.82</v>
      </c>
      <c r="O166" s="36">
        <v>3.25</v>
      </c>
      <c r="P166" s="36">
        <v>3.68</v>
      </c>
      <c r="Q166" s="36">
        <v>4.16</v>
      </c>
      <c r="R166" s="36">
        <v>4.96</v>
      </c>
      <c r="S166" s="36">
        <v>5.82</v>
      </c>
      <c r="T166" s="36">
        <v>6.68</v>
      </c>
      <c r="U166" s="36"/>
      <c r="V166" s="36"/>
      <c r="W166" s="36"/>
      <c r="X166" s="36"/>
      <c r="Y166" s="36"/>
      <c r="Z166" s="36"/>
      <c r="AA166" s="36">
        <v>5.8</v>
      </c>
      <c r="AB166" s="58" t="s">
        <v>331</v>
      </c>
      <c r="AC166" s="36"/>
    </row>
    <row r="167" spans="1:29" outlineLevel="1">
      <c r="A167" s="36" t="s">
        <v>303</v>
      </c>
      <c r="B167" s="36" t="s">
        <v>334</v>
      </c>
      <c r="C167" s="36" t="s">
        <v>304</v>
      </c>
      <c r="D167" s="36"/>
      <c r="E167" s="36" t="s">
        <v>325</v>
      </c>
      <c r="F167" s="36">
        <v>75</v>
      </c>
      <c r="G167" s="37">
        <v>1.83</v>
      </c>
      <c r="H167" s="36">
        <v>2.08</v>
      </c>
      <c r="I167" s="36">
        <v>2.21</v>
      </c>
      <c r="J167" s="36"/>
      <c r="K167" s="36">
        <v>2.61</v>
      </c>
      <c r="L167" s="36">
        <v>2.83</v>
      </c>
      <c r="M167" s="36">
        <v>3.13</v>
      </c>
      <c r="N167" s="36">
        <v>3.38</v>
      </c>
      <c r="O167" s="36">
        <v>3.88</v>
      </c>
      <c r="P167" s="36">
        <v>4.34</v>
      </c>
      <c r="Q167" s="36">
        <v>4.8099999999999996</v>
      </c>
      <c r="R167" s="36">
        <v>5.77</v>
      </c>
      <c r="S167" s="36">
        <v>6.73</v>
      </c>
      <c r="T167" s="36">
        <v>7.71</v>
      </c>
      <c r="U167" s="36"/>
      <c r="V167" s="36"/>
      <c r="W167" s="36"/>
      <c r="X167" s="36"/>
      <c r="Y167" s="36"/>
      <c r="Z167" s="36"/>
      <c r="AA167" s="36">
        <v>6.52</v>
      </c>
      <c r="AB167" s="58" t="s">
        <v>331</v>
      </c>
      <c r="AC167" s="36"/>
    </row>
    <row r="168" spans="1:29" outlineLevel="1">
      <c r="A168" s="36" t="s">
        <v>303</v>
      </c>
      <c r="B168" s="36" t="s">
        <v>334</v>
      </c>
      <c r="C168" s="36" t="s">
        <v>304</v>
      </c>
      <c r="D168" s="36"/>
      <c r="E168" s="36" t="s">
        <v>325</v>
      </c>
      <c r="F168" s="36">
        <v>85</v>
      </c>
      <c r="G168" s="38">
        <v>2.08</v>
      </c>
      <c r="H168" s="37">
        <v>2.42</v>
      </c>
      <c r="I168" s="37">
        <v>2.5099999999999998</v>
      </c>
      <c r="J168" s="37"/>
      <c r="K168" s="37">
        <v>2.96</v>
      </c>
      <c r="L168" s="36"/>
      <c r="M168" s="36"/>
      <c r="O168" s="36"/>
      <c r="P168" s="36"/>
      <c r="Q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58" t="s">
        <v>331</v>
      </c>
      <c r="AC168" s="36"/>
    </row>
    <row r="169" spans="1:29" outlineLevel="1">
      <c r="A169" s="36" t="s">
        <v>303</v>
      </c>
      <c r="B169" s="36" t="s">
        <v>334</v>
      </c>
      <c r="C169" s="36" t="s">
        <v>304</v>
      </c>
      <c r="D169" s="36"/>
      <c r="E169" s="36" t="s">
        <v>325</v>
      </c>
      <c r="F169" s="36">
        <v>100</v>
      </c>
      <c r="G169" s="38">
        <v>2.4500000000000002</v>
      </c>
      <c r="H169" s="38">
        <v>2.78</v>
      </c>
      <c r="I169" s="38">
        <v>2.95</v>
      </c>
      <c r="J169" s="38"/>
      <c r="K169" s="38">
        <v>3.48</v>
      </c>
      <c r="L169" s="37">
        <v>4.96</v>
      </c>
      <c r="M169" s="36">
        <v>4.18</v>
      </c>
      <c r="N169" s="36">
        <v>4.9000000000000004</v>
      </c>
      <c r="O169" s="36">
        <v>5.51</v>
      </c>
      <c r="P169" s="36">
        <v>6.05</v>
      </c>
      <c r="Q169" s="36">
        <v>6.74</v>
      </c>
      <c r="R169" s="36">
        <v>7.96</v>
      </c>
      <c r="S169" s="36">
        <v>9.19</v>
      </c>
      <c r="T169" s="36">
        <v>10.41</v>
      </c>
      <c r="U169" s="36"/>
      <c r="V169" s="36"/>
      <c r="W169" s="36"/>
      <c r="X169" s="36"/>
      <c r="Y169" s="36"/>
      <c r="Z169" s="36"/>
      <c r="AA169" s="36">
        <v>8.32</v>
      </c>
      <c r="AB169" s="58" t="s">
        <v>331</v>
      </c>
      <c r="AC169" s="36"/>
    </row>
    <row r="170" spans="1:29" outlineLevel="1">
      <c r="A170" s="36" t="s">
        <v>303</v>
      </c>
      <c r="B170" s="36" t="s">
        <v>334</v>
      </c>
      <c r="C170" s="36" t="s">
        <v>304</v>
      </c>
      <c r="D170" s="36"/>
      <c r="E170" s="36" t="s">
        <v>325</v>
      </c>
      <c r="F170" s="36">
        <v>125</v>
      </c>
      <c r="G170" s="36"/>
      <c r="H170" s="36"/>
      <c r="I170" s="36"/>
      <c r="J170" s="36"/>
      <c r="K170" s="36"/>
      <c r="L170" s="36"/>
      <c r="M170" s="37">
        <v>5.22</v>
      </c>
      <c r="N170" s="37">
        <v>6.13</v>
      </c>
      <c r="O170" s="37">
        <v>6.89</v>
      </c>
      <c r="P170" s="43">
        <v>8.18</v>
      </c>
      <c r="Q170" s="36">
        <v>8.93</v>
      </c>
      <c r="R170" s="36">
        <v>10.41</v>
      </c>
      <c r="S170" s="36">
        <v>11.89</v>
      </c>
      <c r="T170" s="36">
        <v>13.39</v>
      </c>
      <c r="U170" s="36"/>
      <c r="V170" s="36"/>
      <c r="W170" s="36"/>
      <c r="X170" s="36"/>
      <c r="Y170" s="36"/>
      <c r="Z170" s="36"/>
      <c r="AA170" s="36">
        <v>10.119999999999999</v>
      </c>
      <c r="AB170" s="58" t="s">
        <v>331</v>
      </c>
      <c r="AC170" s="36"/>
    </row>
    <row r="171" spans="1:29" outlineLevel="1">
      <c r="A171" s="36" t="s">
        <v>303</v>
      </c>
      <c r="B171" s="36" t="s">
        <v>334</v>
      </c>
      <c r="C171" s="36" t="s">
        <v>304</v>
      </c>
      <c r="D171" s="36"/>
      <c r="E171" s="36" t="s">
        <v>325</v>
      </c>
      <c r="F171" s="36">
        <v>150</v>
      </c>
      <c r="G171" s="36"/>
      <c r="H171" s="36"/>
      <c r="I171" s="36"/>
      <c r="J171" s="36"/>
      <c r="K171" s="36"/>
      <c r="L171" s="36"/>
      <c r="M171" s="38">
        <v>6.26</v>
      </c>
      <c r="N171" s="38">
        <v>7.35</v>
      </c>
      <c r="O171" s="38">
        <v>8.27</v>
      </c>
      <c r="P171" s="37">
        <v>9.82</v>
      </c>
      <c r="Q171" s="37">
        <v>10.72</v>
      </c>
      <c r="R171" s="37">
        <v>12.5</v>
      </c>
      <c r="S171" s="37">
        <v>14.27</v>
      </c>
      <c r="T171" s="37">
        <v>16.07</v>
      </c>
      <c r="U171" s="36"/>
      <c r="V171" s="36"/>
      <c r="W171" s="36"/>
      <c r="X171" s="36"/>
      <c r="Y171" s="36"/>
      <c r="Z171" s="36"/>
      <c r="AA171" s="36">
        <v>11.92</v>
      </c>
      <c r="AB171" s="58" t="s">
        <v>331</v>
      </c>
      <c r="AC171" s="36"/>
    </row>
    <row r="172" spans="1:29" outlineLevel="1">
      <c r="A172" s="36" t="s">
        <v>303</v>
      </c>
      <c r="B172" s="36" t="s">
        <v>334</v>
      </c>
      <c r="C172" s="36" t="s">
        <v>304</v>
      </c>
      <c r="D172" s="36"/>
      <c r="E172" s="36" t="s">
        <v>325</v>
      </c>
      <c r="F172" s="36">
        <v>175</v>
      </c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8">
        <v>12.51</v>
      </c>
      <c r="R172" s="38">
        <v>14.58</v>
      </c>
      <c r="S172" s="38">
        <v>16.649999999999999</v>
      </c>
      <c r="T172" s="38">
        <v>18.75</v>
      </c>
      <c r="U172" s="36"/>
      <c r="V172" s="36"/>
      <c r="W172" s="36"/>
      <c r="X172" s="36"/>
      <c r="Y172" s="36"/>
      <c r="Z172" s="36"/>
      <c r="AA172" s="36">
        <v>13.72</v>
      </c>
      <c r="AB172" s="58" t="s">
        <v>331</v>
      </c>
      <c r="AC172" s="36"/>
    </row>
    <row r="173" spans="1:29" outlineLevel="1">
      <c r="A173" s="36" t="s">
        <v>303</v>
      </c>
      <c r="B173" s="36" t="s">
        <v>334</v>
      </c>
      <c r="C173" s="36" t="s">
        <v>304</v>
      </c>
      <c r="D173" s="36"/>
      <c r="E173" s="36" t="s">
        <v>325</v>
      </c>
      <c r="F173" s="36">
        <v>200</v>
      </c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8">
        <v>21.43</v>
      </c>
      <c r="U173" s="36"/>
      <c r="V173" s="36"/>
      <c r="W173" s="36"/>
      <c r="X173" s="36"/>
      <c r="Y173" s="36"/>
      <c r="Z173" s="36"/>
      <c r="AA173" s="36">
        <v>15.52</v>
      </c>
      <c r="AB173" s="58" t="s">
        <v>331</v>
      </c>
      <c r="AC173" s="36"/>
    </row>
    <row r="174" spans="1:29" outlineLevel="1">
      <c r="A174" s="36" t="s">
        <v>303</v>
      </c>
      <c r="B174" s="36" t="s">
        <v>334</v>
      </c>
      <c r="C174" s="36" t="s">
        <v>304</v>
      </c>
      <c r="D174" s="36"/>
      <c r="E174" s="36" t="s">
        <v>325</v>
      </c>
      <c r="F174" s="36">
        <v>225</v>
      </c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>
        <v>17.32</v>
      </c>
      <c r="AB174" s="58" t="s">
        <v>331</v>
      </c>
      <c r="AC174" s="36"/>
    </row>
    <row r="175" spans="1:29" outlineLevel="1">
      <c r="A175" s="36" t="s">
        <v>303</v>
      </c>
      <c r="B175" s="36" t="s">
        <v>334</v>
      </c>
      <c r="C175" s="36" t="s">
        <v>304</v>
      </c>
      <c r="D175" s="36"/>
      <c r="E175" s="36" t="s">
        <v>325</v>
      </c>
      <c r="F175" s="36">
        <v>235</v>
      </c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7">
        <v>18.09</v>
      </c>
      <c r="AB175" s="58" t="s">
        <v>331</v>
      </c>
      <c r="AC175" s="36"/>
    </row>
    <row r="176" spans="1:29" outlineLevel="1">
      <c r="A176" s="36" t="s">
        <v>303</v>
      </c>
      <c r="B176" s="36" t="s">
        <v>334</v>
      </c>
      <c r="C176" s="36" t="s">
        <v>304</v>
      </c>
      <c r="D176" s="36"/>
      <c r="E176" s="36" t="s">
        <v>325</v>
      </c>
      <c r="F176" s="36">
        <v>250</v>
      </c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8">
        <v>19.25</v>
      </c>
      <c r="AB176" s="58" t="s">
        <v>331</v>
      </c>
      <c r="AC176" s="36"/>
    </row>
    <row r="177" spans="1:29" outlineLevel="1">
      <c r="A177" s="36" t="s">
        <v>303</v>
      </c>
      <c r="B177" s="36" t="s">
        <v>334</v>
      </c>
      <c r="C177" s="36" t="s">
        <v>304</v>
      </c>
      <c r="D177" s="36"/>
      <c r="E177" s="36" t="s">
        <v>325</v>
      </c>
      <c r="F177" s="36">
        <v>270</v>
      </c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8">
        <v>20.79</v>
      </c>
      <c r="AB177" s="58" t="s">
        <v>331</v>
      </c>
      <c r="AC177" s="36"/>
    </row>
    <row r="178" spans="1:29" outlineLevel="1">
      <c r="A178" s="54" t="s">
        <v>331</v>
      </c>
      <c r="B178" s="54" t="s">
        <v>331</v>
      </c>
      <c r="C178" s="54" t="s">
        <v>331</v>
      </c>
      <c r="D178" s="54" t="s">
        <v>331</v>
      </c>
      <c r="E178" s="54" t="s">
        <v>331</v>
      </c>
      <c r="F178" s="54" t="s">
        <v>331</v>
      </c>
      <c r="G178" s="54" t="s">
        <v>331</v>
      </c>
      <c r="H178" s="54" t="s">
        <v>331</v>
      </c>
      <c r="I178" s="54" t="s">
        <v>331</v>
      </c>
      <c r="J178" s="54" t="s">
        <v>331</v>
      </c>
      <c r="K178" s="54" t="s">
        <v>331</v>
      </c>
      <c r="L178" s="54" t="s">
        <v>331</v>
      </c>
      <c r="M178" s="54" t="s">
        <v>331</v>
      </c>
      <c r="N178" s="54" t="s">
        <v>331</v>
      </c>
      <c r="O178" s="54" t="s">
        <v>331</v>
      </c>
      <c r="P178" s="54" t="s">
        <v>331</v>
      </c>
      <c r="Q178" s="54" t="s">
        <v>331</v>
      </c>
      <c r="R178" s="54" t="s">
        <v>331</v>
      </c>
      <c r="S178" s="54" t="s">
        <v>331</v>
      </c>
      <c r="T178" s="54" t="s">
        <v>331</v>
      </c>
      <c r="U178" s="54" t="s">
        <v>331</v>
      </c>
      <c r="V178" s="54" t="s">
        <v>331</v>
      </c>
      <c r="W178" s="54" t="s">
        <v>331</v>
      </c>
      <c r="X178" s="54" t="s">
        <v>331</v>
      </c>
      <c r="Y178" s="54" t="s">
        <v>331</v>
      </c>
      <c r="Z178" s="54" t="s">
        <v>331</v>
      </c>
      <c r="AA178" s="54" t="s">
        <v>331</v>
      </c>
      <c r="AB178" s="54" t="s">
        <v>331</v>
      </c>
      <c r="AC178" s="36"/>
    </row>
    <row r="179" spans="1:29" outlineLevel="1">
      <c r="A179" s="36" t="s">
        <v>303</v>
      </c>
      <c r="B179" s="36" t="s">
        <v>333</v>
      </c>
      <c r="C179" s="36" t="s">
        <v>302</v>
      </c>
      <c r="D179" s="36"/>
      <c r="E179" s="36" t="s">
        <v>326</v>
      </c>
      <c r="F179" s="32">
        <v>30</v>
      </c>
      <c r="G179" s="36">
        <v>0.71199999999999997</v>
      </c>
      <c r="H179" s="36">
        <v>0.79</v>
      </c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58" t="s">
        <v>331</v>
      </c>
      <c r="AC179" s="36"/>
    </row>
    <row r="180" spans="1:29" outlineLevel="1">
      <c r="A180" s="36" t="s">
        <v>303</v>
      </c>
      <c r="B180" s="36" t="s">
        <v>333</v>
      </c>
      <c r="C180" s="36" t="s">
        <v>302</v>
      </c>
      <c r="D180" s="36"/>
      <c r="E180" s="36" t="s">
        <v>326</v>
      </c>
      <c r="F180" s="32">
        <v>40</v>
      </c>
      <c r="G180" s="36">
        <v>1.06</v>
      </c>
      <c r="H180" s="36">
        <v>1.1399999999999999</v>
      </c>
      <c r="I180" s="36">
        <v>1.24</v>
      </c>
      <c r="J180" s="36"/>
      <c r="K180" s="36">
        <v>1.47</v>
      </c>
      <c r="L180" s="36">
        <v>1.65</v>
      </c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58" t="s">
        <v>331</v>
      </c>
      <c r="AC180" s="36"/>
    </row>
    <row r="181" spans="1:29" outlineLevel="1">
      <c r="A181" s="36" t="s">
        <v>303</v>
      </c>
      <c r="B181" s="36" t="s">
        <v>333</v>
      </c>
      <c r="C181" s="36" t="s">
        <v>302</v>
      </c>
      <c r="D181" s="36"/>
      <c r="E181" s="36" t="s">
        <v>326</v>
      </c>
      <c r="F181" s="32">
        <v>50</v>
      </c>
      <c r="G181" s="36">
        <v>1.46</v>
      </c>
      <c r="H181" s="36">
        <v>1.58</v>
      </c>
      <c r="I181" s="36">
        <v>1.69</v>
      </c>
      <c r="J181" s="36"/>
      <c r="K181" s="36">
        <v>1.95</v>
      </c>
      <c r="L181" s="36">
        <v>2.17</v>
      </c>
      <c r="M181" s="36">
        <v>2.46</v>
      </c>
      <c r="N181" s="36">
        <v>2.81</v>
      </c>
      <c r="O181" s="36">
        <v>3.29</v>
      </c>
      <c r="P181" s="36">
        <v>3.78</v>
      </c>
      <c r="Q181" s="36">
        <v>4.26</v>
      </c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58" t="s">
        <v>331</v>
      </c>
      <c r="AC181" s="36"/>
    </row>
    <row r="182" spans="1:29" outlineLevel="1">
      <c r="A182" s="36" t="s">
        <v>303</v>
      </c>
      <c r="B182" s="36" t="s">
        <v>333</v>
      </c>
      <c r="C182" s="36" t="s">
        <v>302</v>
      </c>
      <c r="D182" s="36"/>
      <c r="E182" s="36" t="s">
        <v>326</v>
      </c>
      <c r="F182" s="32">
        <v>65</v>
      </c>
      <c r="G182" s="36">
        <v>2.1800000000000002</v>
      </c>
      <c r="H182" s="36">
        <v>2.2999999999999998</v>
      </c>
      <c r="I182" s="36">
        <v>2.46</v>
      </c>
      <c r="J182" s="36"/>
      <c r="K182" s="36">
        <v>2.8</v>
      </c>
      <c r="L182" s="36">
        <v>3.19</v>
      </c>
      <c r="M182" s="36">
        <v>3.79</v>
      </c>
      <c r="N182" s="36">
        <v>3.86</v>
      </c>
      <c r="O182" s="36">
        <v>4.46</v>
      </c>
      <c r="P182" s="36">
        <v>5.0599999999999996</v>
      </c>
      <c r="Q182" s="36">
        <v>5.72</v>
      </c>
      <c r="R182" s="36">
        <v>6.86</v>
      </c>
      <c r="S182" s="36">
        <v>8.0500000000000007</v>
      </c>
      <c r="T182" s="36">
        <v>9.26</v>
      </c>
      <c r="U182" s="36"/>
      <c r="V182" s="36"/>
      <c r="W182" s="36"/>
      <c r="X182" s="36"/>
      <c r="Y182" s="36"/>
      <c r="Z182" s="36"/>
      <c r="AA182" s="36"/>
      <c r="AB182" s="58" t="s">
        <v>331</v>
      </c>
      <c r="AC182" s="36"/>
    </row>
    <row r="183" spans="1:29" outlineLevel="1">
      <c r="A183" s="36" t="s">
        <v>303</v>
      </c>
      <c r="B183" s="36" t="s">
        <v>333</v>
      </c>
      <c r="C183" s="36" t="s">
        <v>302</v>
      </c>
      <c r="D183" s="36"/>
      <c r="E183" s="36" t="s">
        <v>326</v>
      </c>
      <c r="F183" s="32">
        <v>75</v>
      </c>
      <c r="G183" s="37">
        <v>2.52</v>
      </c>
      <c r="H183" s="36">
        <v>2.88</v>
      </c>
      <c r="I183" s="36">
        <v>3.05</v>
      </c>
      <c r="J183" s="36"/>
      <c r="K183" s="36">
        <v>3.57</v>
      </c>
      <c r="L183" s="36">
        <v>3.89</v>
      </c>
      <c r="M183" s="36">
        <v>4.3099999999999996</v>
      </c>
      <c r="N183" s="36">
        <v>4.6500000000000004</v>
      </c>
      <c r="O183" s="36">
        <v>5.36</v>
      </c>
      <c r="P183" s="36">
        <v>6.01</v>
      </c>
      <c r="Q183" s="36">
        <v>6.68</v>
      </c>
      <c r="R183" s="36">
        <v>8.0399999999999991</v>
      </c>
      <c r="S183" s="36">
        <v>9.39</v>
      </c>
      <c r="T183" s="36">
        <v>11.49</v>
      </c>
      <c r="U183" s="36"/>
      <c r="V183" s="36"/>
      <c r="W183" s="36"/>
      <c r="X183" s="36"/>
      <c r="Y183" s="36"/>
      <c r="Z183" s="36"/>
      <c r="AA183" s="36">
        <v>9.2200000000000006</v>
      </c>
      <c r="AB183" s="58" t="s">
        <v>331</v>
      </c>
      <c r="AC183" s="36"/>
    </row>
    <row r="184" spans="1:29" outlineLevel="1">
      <c r="A184" s="36" t="s">
        <v>303</v>
      </c>
      <c r="B184" s="36" t="s">
        <v>333</v>
      </c>
      <c r="C184" s="36" t="s">
        <v>302</v>
      </c>
      <c r="D184" s="36"/>
      <c r="E184" s="36" t="s">
        <v>326</v>
      </c>
      <c r="F184" s="32">
        <v>100</v>
      </c>
      <c r="G184" s="38">
        <v>3.36</v>
      </c>
      <c r="H184" s="37">
        <v>3.84</v>
      </c>
      <c r="I184" s="37">
        <v>4.07</v>
      </c>
      <c r="J184" s="37"/>
      <c r="K184" s="37">
        <v>4.76</v>
      </c>
      <c r="L184" s="36">
        <v>5.88</v>
      </c>
      <c r="M184" s="36">
        <v>6.42</v>
      </c>
      <c r="N184" s="36">
        <v>6.87</v>
      </c>
      <c r="O184" s="36">
        <v>7.74</v>
      </c>
      <c r="P184" s="36">
        <v>8.5399999999999991</v>
      </c>
      <c r="Q184" s="36">
        <v>9.48</v>
      </c>
      <c r="R184" s="36">
        <v>11.24</v>
      </c>
      <c r="S184" s="36">
        <v>13</v>
      </c>
      <c r="T184" s="36">
        <v>14.74</v>
      </c>
      <c r="U184" s="36"/>
      <c r="V184" s="36"/>
      <c r="W184" s="36"/>
      <c r="X184" s="36"/>
      <c r="Y184" s="36"/>
      <c r="Z184" s="36"/>
      <c r="AA184" s="36">
        <v>11.92</v>
      </c>
      <c r="AB184" s="58" t="s">
        <v>331</v>
      </c>
      <c r="AC184" s="36"/>
    </row>
    <row r="185" spans="1:29" outlineLevel="1">
      <c r="A185" s="36" t="s">
        <v>303</v>
      </c>
      <c r="B185" s="36" t="s">
        <v>333</v>
      </c>
      <c r="C185" s="36" t="s">
        <v>302</v>
      </c>
      <c r="D185" s="36"/>
      <c r="E185" s="36" t="s">
        <v>326</v>
      </c>
      <c r="F185" s="36">
        <v>125</v>
      </c>
      <c r="G185" s="38">
        <v>4.2</v>
      </c>
      <c r="H185" s="38">
        <v>4.8</v>
      </c>
      <c r="I185" s="38">
        <v>5.09</v>
      </c>
      <c r="J185" s="38"/>
      <c r="K185" s="38">
        <v>5.95</v>
      </c>
      <c r="L185" s="37">
        <v>7.35</v>
      </c>
      <c r="M185" s="37">
        <v>8.0299999999999994</v>
      </c>
      <c r="N185" s="37">
        <v>8.59</v>
      </c>
      <c r="O185" s="37">
        <v>9.68</v>
      </c>
      <c r="P185" s="36">
        <v>11.61</v>
      </c>
      <c r="Q185" s="36">
        <v>12.69</v>
      </c>
      <c r="R185" s="36">
        <v>14.83</v>
      </c>
      <c r="S185" s="36">
        <v>16.96</v>
      </c>
      <c r="T185" s="36">
        <v>19.12</v>
      </c>
      <c r="U185" s="36"/>
      <c r="V185" s="36"/>
      <c r="W185" s="36"/>
      <c r="X185" s="36"/>
      <c r="Y185" s="36"/>
      <c r="Z185" s="36"/>
      <c r="AA185" s="36">
        <v>14.62</v>
      </c>
      <c r="AB185" s="58" t="s">
        <v>331</v>
      </c>
      <c r="AC185" s="36"/>
    </row>
    <row r="186" spans="1:29" outlineLevel="1">
      <c r="A186" s="36" t="s">
        <v>303</v>
      </c>
      <c r="B186" s="36" t="s">
        <v>333</v>
      </c>
      <c r="C186" s="36" t="s">
        <v>302</v>
      </c>
      <c r="D186" s="36"/>
      <c r="E186" s="36" t="s">
        <v>326</v>
      </c>
      <c r="F186" s="36">
        <v>150</v>
      </c>
      <c r="G186" s="36"/>
      <c r="H186" s="36"/>
      <c r="I186" s="36"/>
      <c r="J186" s="36"/>
      <c r="K186" s="38">
        <v>7.14</v>
      </c>
      <c r="L186" s="37">
        <v>8.82</v>
      </c>
      <c r="M186" s="38">
        <v>9.6300000000000008</v>
      </c>
      <c r="N186" s="38">
        <v>10.31</v>
      </c>
      <c r="O186" s="38">
        <v>11.61</v>
      </c>
      <c r="P186" s="37">
        <v>13.94</v>
      </c>
      <c r="Q186" s="37">
        <v>15.23</v>
      </c>
      <c r="R186" s="37">
        <v>17.8</v>
      </c>
      <c r="S186" s="37">
        <v>20.36</v>
      </c>
      <c r="T186" s="37">
        <v>22.95</v>
      </c>
      <c r="U186" s="36"/>
      <c r="V186" s="36"/>
      <c r="W186" s="36"/>
      <c r="X186" s="36"/>
      <c r="Y186" s="36"/>
      <c r="Z186" s="36"/>
      <c r="AA186" s="36">
        <v>17.32</v>
      </c>
      <c r="AB186" s="58" t="s">
        <v>331</v>
      </c>
      <c r="AC186" s="36"/>
    </row>
    <row r="187" spans="1:29" outlineLevel="1">
      <c r="A187" s="36" t="s">
        <v>303</v>
      </c>
      <c r="B187" s="36" t="s">
        <v>333</v>
      </c>
      <c r="C187" s="36" t="s">
        <v>302</v>
      </c>
      <c r="D187" s="36"/>
      <c r="E187" s="36" t="s">
        <v>326</v>
      </c>
      <c r="F187" s="36">
        <v>200</v>
      </c>
      <c r="G187" s="36"/>
      <c r="H187" s="36"/>
      <c r="I187" s="36"/>
      <c r="J187" s="36"/>
      <c r="K187" s="36"/>
      <c r="L187" s="36"/>
      <c r="M187" s="38">
        <v>12.84</v>
      </c>
      <c r="N187" s="38">
        <v>13.74</v>
      </c>
      <c r="O187" s="38">
        <v>15.48</v>
      </c>
      <c r="P187" s="38">
        <v>18.579999999999998</v>
      </c>
      <c r="Q187" s="38">
        <v>20.309999999999999</v>
      </c>
      <c r="R187" s="38">
        <v>23.73</v>
      </c>
      <c r="S187" s="38">
        <v>27.14</v>
      </c>
      <c r="T187" s="38">
        <v>30.6</v>
      </c>
      <c r="U187" s="36"/>
      <c r="V187" s="36"/>
      <c r="W187" s="36"/>
      <c r="X187" s="36"/>
      <c r="Y187" s="36"/>
      <c r="Z187" s="36"/>
      <c r="AA187" s="36">
        <v>22.72</v>
      </c>
      <c r="AB187" s="58" t="s">
        <v>331</v>
      </c>
      <c r="AC187" s="36"/>
    </row>
    <row r="188" spans="1:29" outlineLevel="1">
      <c r="A188" s="36" t="s">
        <v>303</v>
      </c>
      <c r="B188" s="36" t="s">
        <v>333</v>
      </c>
      <c r="C188" s="36" t="s">
        <v>302</v>
      </c>
      <c r="D188" s="36"/>
      <c r="E188" s="36" t="s">
        <v>326</v>
      </c>
      <c r="F188" s="36">
        <v>225</v>
      </c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8">
        <v>30.53</v>
      </c>
      <c r="T188" s="38">
        <v>34.42</v>
      </c>
      <c r="U188" s="36"/>
      <c r="V188" s="36"/>
      <c r="W188" s="36"/>
      <c r="X188" s="36"/>
      <c r="Y188" s="36"/>
      <c r="Z188" s="36"/>
      <c r="AA188" s="36">
        <v>25.42</v>
      </c>
      <c r="AB188" s="58" t="s">
        <v>331</v>
      </c>
      <c r="AC188" s="36"/>
    </row>
    <row r="189" spans="1:29" outlineLevel="1">
      <c r="A189" s="36" t="s">
        <v>303</v>
      </c>
      <c r="B189" s="36" t="s">
        <v>333</v>
      </c>
      <c r="C189" s="36" t="s">
        <v>302</v>
      </c>
      <c r="D189" s="36"/>
      <c r="E189" s="36" t="s">
        <v>326</v>
      </c>
      <c r="F189" s="36">
        <v>275</v>
      </c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7">
        <v>31.07</v>
      </c>
      <c r="AB189" s="58" t="s">
        <v>331</v>
      </c>
      <c r="AC189" s="36"/>
    </row>
    <row r="190" spans="1:29" outlineLevel="1">
      <c r="A190" s="36" t="s">
        <v>303</v>
      </c>
      <c r="B190" s="36" t="s">
        <v>333</v>
      </c>
      <c r="C190" s="36" t="s">
        <v>302</v>
      </c>
      <c r="D190" s="36"/>
      <c r="E190" s="36" t="s">
        <v>326</v>
      </c>
      <c r="F190" s="36">
        <v>335</v>
      </c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8">
        <v>37.85</v>
      </c>
      <c r="AB190" s="58" t="s">
        <v>331</v>
      </c>
      <c r="AC190" s="36"/>
    </row>
    <row r="191" spans="1:29" outlineLevel="1">
      <c r="A191" s="54" t="s">
        <v>331</v>
      </c>
      <c r="B191" s="54" t="s">
        <v>331</v>
      </c>
      <c r="C191" s="54" t="s">
        <v>331</v>
      </c>
      <c r="D191" s="54" t="s">
        <v>331</v>
      </c>
      <c r="E191" s="54" t="s">
        <v>331</v>
      </c>
      <c r="F191" s="54" t="s">
        <v>331</v>
      </c>
      <c r="G191" s="54" t="s">
        <v>331</v>
      </c>
      <c r="H191" s="54" t="s">
        <v>331</v>
      </c>
      <c r="I191" s="54" t="s">
        <v>331</v>
      </c>
      <c r="J191" s="54" t="s">
        <v>331</v>
      </c>
      <c r="K191" s="54" t="s">
        <v>331</v>
      </c>
      <c r="L191" s="54" t="s">
        <v>331</v>
      </c>
      <c r="M191" s="54" t="s">
        <v>331</v>
      </c>
      <c r="N191" s="54" t="s">
        <v>331</v>
      </c>
      <c r="O191" s="54" t="s">
        <v>331</v>
      </c>
      <c r="P191" s="54" t="s">
        <v>331</v>
      </c>
      <c r="Q191" s="54" t="s">
        <v>331</v>
      </c>
      <c r="R191" s="54" t="s">
        <v>331</v>
      </c>
      <c r="S191" s="54" t="s">
        <v>331</v>
      </c>
      <c r="T191" s="54" t="s">
        <v>331</v>
      </c>
      <c r="U191" s="54" t="s">
        <v>331</v>
      </c>
      <c r="V191" s="54" t="s">
        <v>331</v>
      </c>
      <c r="W191" s="54" t="s">
        <v>331</v>
      </c>
      <c r="X191" s="54" t="s">
        <v>331</v>
      </c>
      <c r="Y191" s="54" t="s">
        <v>331</v>
      </c>
      <c r="Z191" s="54" t="s">
        <v>331</v>
      </c>
      <c r="AA191" s="54" t="s">
        <v>331</v>
      </c>
      <c r="AB191" s="54" t="s">
        <v>331</v>
      </c>
      <c r="AC191" s="36"/>
    </row>
    <row r="192" spans="1:29" outlineLevel="1">
      <c r="A192" s="36" t="s">
        <v>298</v>
      </c>
      <c r="B192" s="36" t="s">
        <v>333</v>
      </c>
      <c r="C192" s="36" t="s">
        <v>301</v>
      </c>
      <c r="D192" s="36"/>
      <c r="E192" s="36" t="s">
        <v>327</v>
      </c>
      <c r="F192" s="32">
        <v>30</v>
      </c>
      <c r="G192" s="36">
        <v>0.48</v>
      </c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58" t="s">
        <v>331</v>
      </c>
      <c r="AC192" s="36"/>
    </row>
    <row r="193" spans="1:29" outlineLevel="1">
      <c r="A193" s="36" t="s">
        <v>298</v>
      </c>
      <c r="B193" s="36" t="s">
        <v>333</v>
      </c>
      <c r="C193" s="36" t="s">
        <v>301</v>
      </c>
      <c r="D193" s="36"/>
      <c r="E193" s="36" t="s">
        <v>327</v>
      </c>
      <c r="F193" s="39">
        <v>40</v>
      </c>
      <c r="G193" s="36">
        <v>0.65</v>
      </c>
      <c r="H193" s="36">
        <v>0.69</v>
      </c>
      <c r="I193" s="36">
        <v>0.74</v>
      </c>
      <c r="J193" s="36"/>
      <c r="K193" s="36">
        <v>0.84</v>
      </c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58" t="s">
        <v>331</v>
      </c>
      <c r="AC193" s="36"/>
    </row>
    <row r="194" spans="1:29" outlineLevel="1">
      <c r="A194" s="36" t="s">
        <v>298</v>
      </c>
      <c r="B194" s="36" t="s">
        <v>333</v>
      </c>
      <c r="C194" s="36" t="s">
        <v>301</v>
      </c>
      <c r="D194" s="36"/>
      <c r="E194" s="36" t="s">
        <v>327</v>
      </c>
      <c r="F194" s="39">
        <v>50</v>
      </c>
      <c r="G194" s="36">
        <v>0.87</v>
      </c>
      <c r="H194" s="36">
        <v>0.91</v>
      </c>
      <c r="I194" s="36">
        <v>0.95</v>
      </c>
      <c r="J194" s="36"/>
      <c r="K194" s="36">
        <v>1.04</v>
      </c>
      <c r="L194" s="36">
        <v>1.1299999999999999</v>
      </c>
      <c r="M194" s="36">
        <v>1.24</v>
      </c>
      <c r="N194" s="36">
        <v>1.5</v>
      </c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58" t="s">
        <v>331</v>
      </c>
      <c r="AC194" s="36"/>
    </row>
    <row r="195" spans="1:29" outlineLevel="1">
      <c r="A195" s="36" t="s">
        <v>298</v>
      </c>
      <c r="B195" s="36" t="s">
        <v>333</v>
      </c>
      <c r="C195" s="36" t="s">
        <v>301</v>
      </c>
      <c r="D195" s="36"/>
      <c r="E195" s="36" t="s">
        <v>327</v>
      </c>
      <c r="F195" s="39">
        <v>65</v>
      </c>
      <c r="G195" s="37">
        <v>1.1399999999999999</v>
      </c>
      <c r="H195" s="37">
        <v>1.19</v>
      </c>
      <c r="I195" s="37">
        <v>1.24</v>
      </c>
      <c r="J195" s="43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58" t="s">
        <v>331</v>
      </c>
      <c r="AC195" s="36"/>
    </row>
    <row r="196" spans="1:29" outlineLevel="1">
      <c r="A196" s="36" t="s">
        <v>298</v>
      </c>
      <c r="B196" s="36" t="s">
        <v>333</v>
      </c>
      <c r="C196" s="36" t="s">
        <v>301</v>
      </c>
      <c r="D196" s="36"/>
      <c r="E196" s="36" t="s">
        <v>327</v>
      </c>
      <c r="F196" s="41">
        <v>75</v>
      </c>
      <c r="G196" s="38">
        <v>1.3</v>
      </c>
      <c r="H196" s="38">
        <v>1.37</v>
      </c>
      <c r="I196" s="38">
        <v>1.43</v>
      </c>
      <c r="J196" s="43"/>
      <c r="K196" s="36">
        <v>1.88</v>
      </c>
      <c r="L196" s="36">
        <v>2</v>
      </c>
      <c r="M196" s="36">
        <v>2.14</v>
      </c>
      <c r="N196" s="36">
        <v>2.2599999999999998</v>
      </c>
      <c r="O196" s="36">
        <v>2.5</v>
      </c>
      <c r="P196" s="36">
        <v>2.74</v>
      </c>
      <c r="Q196" s="36">
        <v>2.98</v>
      </c>
      <c r="R196" s="36">
        <v>3.42</v>
      </c>
      <c r="S196" s="36">
        <v>4.07</v>
      </c>
      <c r="T196" s="36">
        <v>4.37</v>
      </c>
      <c r="U196" s="36"/>
      <c r="V196" s="36"/>
      <c r="W196" s="36"/>
      <c r="X196" s="36"/>
      <c r="Y196" s="36"/>
      <c r="Z196" s="36"/>
      <c r="AA196" s="36"/>
      <c r="AB196" s="58" t="s">
        <v>331</v>
      </c>
      <c r="AC196" s="36"/>
    </row>
    <row r="197" spans="1:29" outlineLevel="1">
      <c r="A197" s="36" t="s">
        <v>298</v>
      </c>
      <c r="B197" s="36" t="s">
        <v>333</v>
      </c>
      <c r="C197" s="36" t="s">
        <v>301</v>
      </c>
      <c r="D197" s="36"/>
      <c r="E197" s="36" t="s">
        <v>327</v>
      </c>
      <c r="F197" s="39">
        <v>100</v>
      </c>
      <c r="G197" s="38">
        <v>1.74</v>
      </c>
      <c r="H197" s="38">
        <v>1.82</v>
      </c>
      <c r="I197" s="38">
        <v>1.9</v>
      </c>
      <c r="J197" s="37"/>
      <c r="K197" s="37">
        <v>2.5099999999999998</v>
      </c>
      <c r="L197" s="37">
        <v>2.67</v>
      </c>
      <c r="M197" s="37">
        <v>2.86</v>
      </c>
      <c r="N197" s="37">
        <v>3.02</v>
      </c>
      <c r="O197" s="37">
        <v>3.34</v>
      </c>
      <c r="P197" s="37">
        <v>3.66</v>
      </c>
      <c r="Q197" s="37">
        <v>3.98</v>
      </c>
      <c r="R197" s="36">
        <v>4.45</v>
      </c>
      <c r="S197" s="36">
        <v>5</v>
      </c>
      <c r="T197" s="36">
        <v>5.54</v>
      </c>
      <c r="U197" s="36"/>
      <c r="V197" s="36"/>
      <c r="W197" s="36"/>
      <c r="X197" s="36"/>
      <c r="Y197" s="36"/>
      <c r="Z197" s="36"/>
      <c r="AA197" s="36">
        <v>3.75</v>
      </c>
      <c r="AB197" s="58" t="s">
        <v>331</v>
      </c>
      <c r="AC197" s="36"/>
    </row>
    <row r="198" spans="1:29" outlineLevel="1">
      <c r="A198" s="36" t="s">
        <v>298</v>
      </c>
      <c r="B198" s="36" t="s">
        <v>333</v>
      </c>
      <c r="C198" s="36" t="s">
        <v>301</v>
      </c>
      <c r="D198" s="36"/>
      <c r="E198" s="36" t="s">
        <v>327</v>
      </c>
      <c r="F198" s="39">
        <v>125</v>
      </c>
      <c r="G198" s="38">
        <v>2.1800000000000002</v>
      </c>
      <c r="H198" s="38">
        <v>2.2799999999999998</v>
      </c>
      <c r="I198" s="38">
        <v>2.38</v>
      </c>
      <c r="J198" s="38"/>
      <c r="K198" s="38">
        <v>3.14</v>
      </c>
      <c r="L198" s="38">
        <v>3.34</v>
      </c>
      <c r="M198" s="38">
        <v>3.57</v>
      </c>
      <c r="N198" s="38">
        <v>3.77</v>
      </c>
      <c r="O198" s="38">
        <v>4.17</v>
      </c>
      <c r="P198" s="38">
        <v>4.57</v>
      </c>
      <c r="Q198" s="38">
        <v>4.97</v>
      </c>
      <c r="R198" s="37">
        <v>5.57</v>
      </c>
      <c r="S198" s="37">
        <v>6.25</v>
      </c>
      <c r="T198" s="37">
        <v>6.93</v>
      </c>
      <c r="U198" s="36"/>
      <c r="V198" s="36"/>
      <c r="W198" s="36"/>
      <c r="X198" s="36"/>
      <c r="Y198" s="36"/>
      <c r="Z198" s="36"/>
      <c r="AA198" s="36">
        <v>4.7699999999999996</v>
      </c>
      <c r="AB198" s="58" t="s">
        <v>331</v>
      </c>
      <c r="AC198" s="36"/>
    </row>
    <row r="199" spans="1:29" outlineLevel="1">
      <c r="A199" s="36" t="s">
        <v>298</v>
      </c>
      <c r="B199" s="36" t="s">
        <v>333</v>
      </c>
      <c r="C199" s="36" t="s">
        <v>301</v>
      </c>
      <c r="D199" s="36"/>
      <c r="E199" s="36" t="s">
        <v>327</v>
      </c>
      <c r="F199" s="39">
        <v>150</v>
      </c>
      <c r="G199" s="36"/>
      <c r="H199" s="36"/>
      <c r="I199" s="38">
        <v>2.85</v>
      </c>
      <c r="J199" s="38"/>
      <c r="K199" s="38">
        <v>3.76</v>
      </c>
      <c r="L199" s="38">
        <v>4</v>
      </c>
      <c r="M199" s="38">
        <v>4.28</v>
      </c>
      <c r="N199" s="38">
        <v>4.5199999999999996</v>
      </c>
      <c r="O199" s="38">
        <v>5</v>
      </c>
      <c r="P199" s="38">
        <v>5.48</v>
      </c>
      <c r="Q199" s="38">
        <v>5.96</v>
      </c>
      <c r="R199" s="38">
        <v>6.68</v>
      </c>
      <c r="S199" s="38">
        <v>7.5</v>
      </c>
      <c r="T199" s="38">
        <v>8.31</v>
      </c>
      <c r="U199" s="36"/>
      <c r="V199" s="36"/>
      <c r="W199" s="36"/>
      <c r="X199" s="36"/>
      <c r="Y199" s="36"/>
      <c r="Z199" s="36"/>
      <c r="AA199" s="36">
        <v>5.3</v>
      </c>
      <c r="AB199" s="58" t="s">
        <v>331</v>
      </c>
      <c r="AC199" s="36"/>
    </row>
    <row r="200" spans="1:29" outlineLevel="1">
      <c r="A200" s="36" t="s">
        <v>298</v>
      </c>
      <c r="B200" s="36" t="s">
        <v>333</v>
      </c>
      <c r="C200" s="36" t="s">
        <v>301</v>
      </c>
      <c r="D200" s="36"/>
      <c r="E200" s="36" t="s">
        <v>327</v>
      </c>
      <c r="F200" s="39">
        <v>200</v>
      </c>
      <c r="G200" s="36"/>
      <c r="H200" s="36"/>
      <c r="I200" s="36"/>
      <c r="J200" s="36"/>
      <c r="K200" s="36"/>
      <c r="L200" s="36"/>
      <c r="M200" s="37">
        <v>5.71</v>
      </c>
      <c r="N200" s="37">
        <v>6.03</v>
      </c>
      <c r="O200" s="38">
        <v>6.67</v>
      </c>
      <c r="P200" s="38">
        <v>7.31</v>
      </c>
      <c r="Q200" s="38">
        <v>7.95</v>
      </c>
      <c r="R200" s="38">
        <v>8.9</v>
      </c>
      <c r="S200" s="38">
        <v>10</v>
      </c>
      <c r="T200" s="38">
        <v>11.1</v>
      </c>
      <c r="U200" s="36"/>
      <c r="V200" s="36"/>
      <c r="W200" s="36"/>
      <c r="X200" s="36"/>
      <c r="Y200" s="36"/>
      <c r="Z200" s="36"/>
      <c r="AA200" s="36">
        <v>6.39</v>
      </c>
      <c r="AB200" s="58" t="s">
        <v>331</v>
      </c>
      <c r="AC200" s="36"/>
    </row>
    <row r="201" spans="1:29" outlineLevel="1">
      <c r="A201" s="36" t="s">
        <v>298</v>
      </c>
      <c r="B201" s="36" t="s">
        <v>333</v>
      </c>
      <c r="C201" s="36" t="s">
        <v>301</v>
      </c>
      <c r="D201" s="36"/>
      <c r="E201" s="36" t="s">
        <v>327</v>
      </c>
      <c r="F201" s="39">
        <v>245</v>
      </c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8">
        <v>10.9</v>
      </c>
      <c r="S201" s="38">
        <v>12.25</v>
      </c>
      <c r="T201" s="38">
        <v>13.58</v>
      </c>
      <c r="U201" s="36"/>
      <c r="V201" s="36"/>
      <c r="W201" s="36"/>
      <c r="X201" s="36"/>
      <c r="Y201" s="36"/>
      <c r="Z201" s="36"/>
      <c r="AA201" s="37">
        <v>7.83</v>
      </c>
      <c r="AB201" s="58" t="s">
        <v>331</v>
      </c>
      <c r="AC201" s="36"/>
    </row>
    <row r="202" spans="1:29" outlineLevel="1">
      <c r="A202" s="36" t="s">
        <v>298</v>
      </c>
      <c r="B202" s="36" t="s">
        <v>333</v>
      </c>
      <c r="C202" s="36" t="s">
        <v>301</v>
      </c>
      <c r="D202" s="36"/>
      <c r="E202" s="36" t="s">
        <v>327</v>
      </c>
      <c r="F202" s="39">
        <v>305</v>
      </c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8">
        <v>9.75</v>
      </c>
      <c r="AB202" s="58" t="s">
        <v>331</v>
      </c>
      <c r="AC202" s="36"/>
    </row>
    <row r="203" spans="1:29" outlineLevel="1">
      <c r="A203" s="36" t="s">
        <v>298</v>
      </c>
      <c r="B203" s="36" t="s">
        <v>333</v>
      </c>
      <c r="C203" s="36" t="s">
        <v>301</v>
      </c>
      <c r="D203" s="36"/>
      <c r="E203" s="36" t="s">
        <v>327</v>
      </c>
      <c r="F203" s="39">
        <v>370</v>
      </c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8">
        <v>11.83</v>
      </c>
      <c r="AB203" s="58" t="s">
        <v>331</v>
      </c>
      <c r="AC203" s="36"/>
    </row>
    <row r="204" spans="1:29" outlineLevel="1">
      <c r="A204" s="54" t="s">
        <v>331</v>
      </c>
      <c r="B204" s="54" t="s">
        <v>331</v>
      </c>
      <c r="C204" s="54" t="s">
        <v>331</v>
      </c>
      <c r="D204" s="54" t="s">
        <v>331</v>
      </c>
      <c r="E204" s="54" t="s">
        <v>331</v>
      </c>
      <c r="F204" s="54" t="s">
        <v>331</v>
      </c>
      <c r="G204" s="54" t="s">
        <v>331</v>
      </c>
      <c r="H204" s="54" t="s">
        <v>331</v>
      </c>
      <c r="I204" s="54" t="s">
        <v>331</v>
      </c>
      <c r="J204" s="54" t="s">
        <v>331</v>
      </c>
      <c r="K204" s="54" t="s">
        <v>331</v>
      </c>
      <c r="L204" s="54" t="s">
        <v>331</v>
      </c>
      <c r="M204" s="54" t="s">
        <v>331</v>
      </c>
      <c r="N204" s="54" t="s">
        <v>331</v>
      </c>
      <c r="O204" s="54" t="s">
        <v>331</v>
      </c>
      <c r="P204" s="54" t="s">
        <v>331</v>
      </c>
      <c r="Q204" s="54" t="s">
        <v>331</v>
      </c>
      <c r="R204" s="54" t="s">
        <v>331</v>
      </c>
      <c r="S204" s="54" t="s">
        <v>331</v>
      </c>
      <c r="T204" s="54" t="s">
        <v>331</v>
      </c>
      <c r="U204" s="54" t="s">
        <v>331</v>
      </c>
      <c r="V204" s="54" t="s">
        <v>331</v>
      </c>
      <c r="W204" s="54" t="s">
        <v>331</v>
      </c>
      <c r="X204" s="54" t="s">
        <v>331</v>
      </c>
      <c r="Y204" s="54" t="s">
        <v>331</v>
      </c>
      <c r="Z204" s="54" t="s">
        <v>331</v>
      </c>
      <c r="AA204" s="54" t="s">
        <v>331</v>
      </c>
      <c r="AB204" s="54" t="s">
        <v>331</v>
      </c>
      <c r="AC204" s="36"/>
    </row>
    <row r="205" spans="1:29" outlineLevel="1">
      <c r="A205" s="36" t="s">
        <v>298</v>
      </c>
      <c r="B205" s="36" t="s">
        <v>333</v>
      </c>
      <c r="C205" s="36" t="s">
        <v>300</v>
      </c>
      <c r="D205" s="36"/>
      <c r="E205" s="36" t="s">
        <v>328</v>
      </c>
      <c r="F205" s="36">
        <v>30</v>
      </c>
      <c r="G205" s="37">
        <v>0.55000000000000004</v>
      </c>
      <c r="H205" s="36">
        <v>0.57999999999999996</v>
      </c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58" t="s">
        <v>331</v>
      </c>
      <c r="AC205" s="36"/>
    </row>
    <row r="206" spans="1:29" outlineLevel="1">
      <c r="A206" s="36" t="s">
        <v>298</v>
      </c>
      <c r="B206" s="36" t="s">
        <v>333</v>
      </c>
      <c r="C206" s="36" t="s">
        <v>300</v>
      </c>
      <c r="D206" s="36"/>
      <c r="E206" s="36" t="s">
        <v>328</v>
      </c>
      <c r="F206" s="36">
        <v>40</v>
      </c>
      <c r="G206" s="38">
        <v>0.73</v>
      </c>
      <c r="H206" s="43"/>
      <c r="I206" s="37">
        <v>0.82</v>
      </c>
      <c r="J206" s="43"/>
      <c r="K206" s="36">
        <v>0.95</v>
      </c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58" t="s">
        <v>331</v>
      </c>
      <c r="AC206" s="36"/>
    </row>
    <row r="207" spans="1:29" outlineLevel="1">
      <c r="A207" s="36" t="s">
        <v>298</v>
      </c>
      <c r="B207" s="36" t="s">
        <v>333</v>
      </c>
      <c r="C207" s="36" t="s">
        <v>300</v>
      </c>
      <c r="D207" s="36"/>
      <c r="E207" s="36" t="s">
        <v>328</v>
      </c>
      <c r="F207" s="36">
        <v>50</v>
      </c>
      <c r="G207" s="38">
        <v>0.91</v>
      </c>
      <c r="H207" s="37">
        <v>0.97</v>
      </c>
      <c r="I207" s="38">
        <v>1.02</v>
      </c>
      <c r="J207" s="37"/>
      <c r="K207" s="37">
        <v>1.19</v>
      </c>
      <c r="L207" s="37">
        <v>1.35</v>
      </c>
      <c r="M207" s="37">
        <v>1.54</v>
      </c>
      <c r="N207" s="36">
        <v>1.85</v>
      </c>
      <c r="O207" s="36">
        <v>2.11</v>
      </c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58" t="s">
        <v>331</v>
      </c>
      <c r="AC207" s="36"/>
    </row>
    <row r="208" spans="1:29" outlineLevel="1">
      <c r="A208" s="36" t="s">
        <v>298</v>
      </c>
      <c r="B208" s="36" t="s">
        <v>333</v>
      </c>
      <c r="C208" s="36" t="s">
        <v>300</v>
      </c>
      <c r="D208" s="36"/>
      <c r="E208" s="36" t="s">
        <v>328</v>
      </c>
      <c r="F208" s="39">
        <v>65</v>
      </c>
      <c r="G208" s="36"/>
      <c r="H208" s="36"/>
      <c r="I208" s="38">
        <v>1.33</v>
      </c>
      <c r="J208" s="42"/>
      <c r="K208" s="42"/>
      <c r="L208" s="38">
        <v>1.76</v>
      </c>
      <c r="M208" s="38">
        <v>2</v>
      </c>
      <c r="N208" s="37">
        <v>2.41</v>
      </c>
      <c r="O208" s="37">
        <v>2.75</v>
      </c>
      <c r="P208" s="37">
        <v>3.16</v>
      </c>
      <c r="Q208" s="37">
        <v>3.67</v>
      </c>
      <c r="R208" s="37">
        <v>4.46</v>
      </c>
      <c r="S208" s="37">
        <v>5.43</v>
      </c>
      <c r="T208" s="37">
        <v>6.26</v>
      </c>
      <c r="U208" s="36"/>
      <c r="V208" s="36"/>
      <c r="W208" s="36"/>
      <c r="X208" s="36"/>
      <c r="Y208" s="36"/>
      <c r="Z208" s="36"/>
      <c r="AA208" s="36"/>
      <c r="AB208" s="58" t="s">
        <v>331</v>
      </c>
      <c r="AC208" s="36"/>
    </row>
    <row r="209" spans="1:29" outlineLevel="1">
      <c r="A209" s="36" t="s">
        <v>298</v>
      </c>
      <c r="B209" s="36" t="s">
        <v>333</v>
      </c>
      <c r="C209" s="36" t="s">
        <v>300</v>
      </c>
      <c r="D209" s="36"/>
      <c r="E209" s="36" t="s">
        <v>328</v>
      </c>
      <c r="F209" s="39">
        <v>75</v>
      </c>
      <c r="G209" s="36"/>
      <c r="H209" s="36"/>
      <c r="I209" s="36"/>
      <c r="J209" s="36"/>
      <c r="K209" s="37">
        <v>1.79</v>
      </c>
      <c r="L209" s="38">
        <v>2.0299999999999998</v>
      </c>
      <c r="M209" s="38">
        <v>2.31</v>
      </c>
      <c r="N209" s="38">
        <v>2.78</v>
      </c>
      <c r="O209" s="43"/>
      <c r="P209" s="38">
        <v>3.65</v>
      </c>
      <c r="Q209" s="38">
        <v>4.2300000000000004</v>
      </c>
      <c r="R209" s="42"/>
      <c r="S209" s="42"/>
      <c r="T209" s="42"/>
      <c r="U209" s="36"/>
      <c r="V209" s="36"/>
      <c r="W209" s="36"/>
      <c r="X209" s="36"/>
      <c r="Y209" s="36"/>
      <c r="Z209" s="36"/>
      <c r="AA209" s="36"/>
      <c r="AB209" s="58" t="s">
        <v>331</v>
      </c>
      <c r="AC209" s="36"/>
    </row>
    <row r="210" spans="1:29" outlineLevel="1">
      <c r="A210" s="36" t="s">
        <v>298</v>
      </c>
      <c r="B210" s="36" t="s">
        <v>333</v>
      </c>
      <c r="C210" s="36" t="s">
        <v>300</v>
      </c>
      <c r="D210" s="36"/>
      <c r="E210" s="36" t="s">
        <v>328</v>
      </c>
      <c r="F210" s="41">
        <v>100</v>
      </c>
      <c r="G210" s="36"/>
      <c r="H210" s="36"/>
      <c r="I210" s="36"/>
      <c r="J210" s="36"/>
      <c r="K210" s="36"/>
      <c r="L210" s="36"/>
      <c r="M210" s="36"/>
      <c r="N210" s="36"/>
      <c r="O210" s="37">
        <v>4.22</v>
      </c>
      <c r="P210" s="38">
        <v>4.8600000000000003</v>
      </c>
      <c r="Q210" s="38">
        <v>5.64</v>
      </c>
      <c r="R210" s="37">
        <v>6.86</v>
      </c>
      <c r="S210" s="37">
        <v>8.34</v>
      </c>
      <c r="T210" s="37">
        <v>9.6199999999999992</v>
      </c>
      <c r="U210" s="36"/>
      <c r="V210" s="36"/>
      <c r="W210" s="36"/>
      <c r="X210" s="36"/>
      <c r="Y210" s="36"/>
      <c r="Z210" s="36"/>
      <c r="AA210" s="36">
        <v>2.75</v>
      </c>
      <c r="AB210" s="58" t="s">
        <v>331</v>
      </c>
      <c r="AC210" s="36"/>
    </row>
    <row r="211" spans="1:29" outlineLevel="1">
      <c r="A211" s="36" t="s">
        <v>298</v>
      </c>
      <c r="B211" s="36" t="s">
        <v>333</v>
      </c>
      <c r="C211" s="36" t="s">
        <v>300</v>
      </c>
      <c r="D211" s="36"/>
      <c r="E211" s="36" t="s">
        <v>328</v>
      </c>
      <c r="F211" s="39">
        <v>125</v>
      </c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>
        <v>3.16</v>
      </c>
      <c r="AB211" s="58" t="s">
        <v>331</v>
      </c>
      <c r="AC211" s="36"/>
    </row>
    <row r="212" spans="1:29" outlineLevel="1">
      <c r="A212" s="36" t="s">
        <v>298</v>
      </c>
      <c r="B212" s="36" t="s">
        <v>333</v>
      </c>
      <c r="C212" s="36" t="s">
        <v>300</v>
      </c>
      <c r="D212" s="36"/>
      <c r="E212" s="36" t="s">
        <v>328</v>
      </c>
      <c r="F212" s="39">
        <v>150</v>
      </c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>
        <v>3.56</v>
      </c>
      <c r="AB212" s="58" t="s">
        <v>331</v>
      </c>
      <c r="AC212" s="36"/>
    </row>
    <row r="213" spans="1:29" outlineLevel="1">
      <c r="A213" s="54" t="s">
        <v>331</v>
      </c>
      <c r="B213" s="54" t="s">
        <v>331</v>
      </c>
      <c r="C213" s="54" t="s">
        <v>331</v>
      </c>
      <c r="D213" s="54" t="s">
        <v>331</v>
      </c>
      <c r="E213" s="54" t="s">
        <v>331</v>
      </c>
      <c r="F213" s="54" t="s">
        <v>331</v>
      </c>
      <c r="G213" s="54" t="s">
        <v>331</v>
      </c>
      <c r="H213" s="54" t="s">
        <v>331</v>
      </c>
      <c r="I213" s="54" t="s">
        <v>331</v>
      </c>
      <c r="J213" s="54" t="s">
        <v>331</v>
      </c>
      <c r="K213" s="54" t="s">
        <v>331</v>
      </c>
      <c r="L213" s="54" t="s">
        <v>331</v>
      </c>
      <c r="M213" s="54" t="s">
        <v>331</v>
      </c>
      <c r="N213" s="54" t="s">
        <v>331</v>
      </c>
      <c r="O213" s="54" t="s">
        <v>331</v>
      </c>
      <c r="P213" s="54" t="s">
        <v>331</v>
      </c>
      <c r="Q213" s="54" t="s">
        <v>331</v>
      </c>
      <c r="R213" s="54" t="s">
        <v>331</v>
      </c>
      <c r="S213" s="54" t="s">
        <v>331</v>
      </c>
      <c r="T213" s="54" t="s">
        <v>331</v>
      </c>
      <c r="U213" s="54" t="s">
        <v>331</v>
      </c>
      <c r="V213" s="54" t="s">
        <v>331</v>
      </c>
      <c r="W213" s="54" t="s">
        <v>331</v>
      </c>
      <c r="X213" s="54" t="s">
        <v>331</v>
      </c>
      <c r="Y213" s="54" t="s">
        <v>331</v>
      </c>
      <c r="Z213" s="54" t="s">
        <v>331</v>
      </c>
      <c r="AA213" s="54" t="s">
        <v>331</v>
      </c>
      <c r="AB213" s="54" t="s">
        <v>331</v>
      </c>
      <c r="AC213" s="36"/>
    </row>
    <row r="214" spans="1:29" outlineLevel="1">
      <c r="A214" s="36" t="s">
        <v>298</v>
      </c>
      <c r="B214" s="36" t="s">
        <v>333</v>
      </c>
      <c r="C214" s="36" t="s">
        <v>299</v>
      </c>
      <c r="D214" s="36"/>
      <c r="E214" s="36" t="s">
        <v>323</v>
      </c>
      <c r="F214" s="36">
        <v>25</v>
      </c>
      <c r="G214" s="36">
        <v>0.73</v>
      </c>
      <c r="H214" s="36">
        <v>0.79</v>
      </c>
      <c r="I214" s="36">
        <v>0.87</v>
      </c>
      <c r="J214" s="36"/>
      <c r="K214" s="36">
        <v>1.04</v>
      </c>
      <c r="L214" s="36">
        <v>1.18</v>
      </c>
      <c r="M214" s="36">
        <v>1.35</v>
      </c>
      <c r="N214" s="36">
        <v>1.49</v>
      </c>
      <c r="O214" s="36">
        <v>1.81</v>
      </c>
      <c r="P214" s="36">
        <v>2.0699999999999998</v>
      </c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58" t="s">
        <v>331</v>
      </c>
      <c r="AC214" s="36"/>
    </row>
    <row r="215" spans="1:29" outlineLevel="1">
      <c r="A215" s="36" t="s">
        <v>298</v>
      </c>
      <c r="B215" s="36" t="s">
        <v>333</v>
      </c>
      <c r="C215" s="36" t="s">
        <v>299</v>
      </c>
      <c r="D215" s="36"/>
      <c r="E215" s="36" t="s">
        <v>323</v>
      </c>
      <c r="F215" s="39">
        <v>30</v>
      </c>
      <c r="G215" s="36">
        <v>0.87</v>
      </c>
      <c r="H215" s="36">
        <v>0.94</v>
      </c>
      <c r="I215" s="36">
        <v>1.01</v>
      </c>
      <c r="J215" s="36"/>
      <c r="K215" s="36">
        <v>1.2</v>
      </c>
      <c r="L215" s="36">
        <v>1.38</v>
      </c>
      <c r="M215" s="36">
        <v>1.55</v>
      </c>
      <c r="N215" s="36">
        <v>1.73</v>
      </c>
      <c r="O215" s="36">
        <v>2.0499999999999998</v>
      </c>
      <c r="P215" s="36">
        <v>2.4700000000000002</v>
      </c>
      <c r="Q215" s="36">
        <v>2.77</v>
      </c>
      <c r="R215" s="36">
        <v>3.46</v>
      </c>
      <c r="S215" s="36">
        <v>4.1399999999999997</v>
      </c>
      <c r="T215" s="36">
        <v>5</v>
      </c>
      <c r="U215" s="36"/>
      <c r="V215" s="36"/>
      <c r="W215" s="36"/>
      <c r="X215" s="36"/>
      <c r="Y215" s="36"/>
      <c r="Z215" s="36"/>
      <c r="AA215" s="36">
        <v>3.2</v>
      </c>
      <c r="AB215" s="58" t="s">
        <v>331</v>
      </c>
      <c r="AC215" s="36"/>
    </row>
    <row r="216" spans="1:29" outlineLevel="1">
      <c r="A216" s="36" t="s">
        <v>298</v>
      </c>
      <c r="B216" s="36" t="s">
        <v>333</v>
      </c>
      <c r="C216" s="36" t="s">
        <v>299</v>
      </c>
      <c r="D216" s="36"/>
      <c r="E216" s="36" t="s">
        <v>323</v>
      </c>
      <c r="F216" s="39">
        <v>40</v>
      </c>
      <c r="G216" s="36">
        <v>1.1000000000000001</v>
      </c>
      <c r="H216" s="36">
        <v>1.18</v>
      </c>
      <c r="I216" s="36">
        <v>1.27</v>
      </c>
      <c r="J216" s="36"/>
      <c r="K216" s="36">
        <v>1.48</v>
      </c>
      <c r="L216" s="36">
        <v>1.64</v>
      </c>
      <c r="M216" s="36">
        <v>1.85</v>
      </c>
      <c r="N216" s="36">
        <v>2.0299999999999998</v>
      </c>
      <c r="O216" s="36">
        <v>2.4500000000000002</v>
      </c>
      <c r="P216" s="36">
        <v>2.87</v>
      </c>
      <c r="Q216" s="36">
        <v>3.17</v>
      </c>
      <c r="R216" s="36">
        <v>3.95</v>
      </c>
      <c r="S216" s="36">
        <v>4.78</v>
      </c>
      <c r="T216" s="36">
        <v>5.57</v>
      </c>
      <c r="U216" s="36"/>
      <c r="V216" s="36"/>
      <c r="W216" s="36"/>
      <c r="X216" s="36"/>
      <c r="Y216" s="36"/>
      <c r="Z216" s="36"/>
      <c r="AA216" s="36">
        <v>3.49</v>
      </c>
      <c r="AB216" s="58" t="s">
        <v>331</v>
      </c>
      <c r="AC216" s="36"/>
    </row>
    <row r="217" spans="1:29" outlineLevel="1">
      <c r="A217" s="36" t="s">
        <v>298</v>
      </c>
      <c r="B217" s="36" t="s">
        <v>333</v>
      </c>
      <c r="C217" s="36" t="s">
        <v>299</v>
      </c>
      <c r="D217" s="36"/>
      <c r="E217" s="36" t="s">
        <v>323</v>
      </c>
      <c r="F217" s="39">
        <v>50</v>
      </c>
      <c r="G217" s="36">
        <v>1.43</v>
      </c>
      <c r="H217" s="36">
        <v>1.53</v>
      </c>
      <c r="I217" s="36">
        <v>1.63</v>
      </c>
      <c r="J217" s="36"/>
      <c r="K217" s="36">
        <v>1.85</v>
      </c>
      <c r="L217" s="36">
        <v>2.0499999999999998</v>
      </c>
      <c r="M217" s="36">
        <v>2.2799999999999998</v>
      </c>
      <c r="N217" s="36">
        <v>2.66</v>
      </c>
      <c r="O217" s="36">
        <v>2.99</v>
      </c>
      <c r="P217" s="36">
        <v>3.41</v>
      </c>
      <c r="Q217" s="36">
        <v>3.81</v>
      </c>
      <c r="R217" s="36">
        <v>4.6399999999999997</v>
      </c>
      <c r="S217" s="36">
        <v>5.46</v>
      </c>
      <c r="T217" s="36">
        <v>6.22</v>
      </c>
      <c r="U217" s="36"/>
      <c r="V217" s="36"/>
      <c r="W217" s="36"/>
      <c r="X217" s="36"/>
      <c r="Y217" s="36"/>
      <c r="Z217" s="36"/>
      <c r="AA217" s="36">
        <v>3.78</v>
      </c>
      <c r="AB217" s="58" t="s">
        <v>331</v>
      </c>
      <c r="AC217" s="36"/>
    </row>
    <row r="218" spans="1:29" outlineLevel="1">
      <c r="A218" s="36" t="s">
        <v>298</v>
      </c>
      <c r="B218" s="36" t="s">
        <v>333</v>
      </c>
      <c r="C218" s="36" t="s">
        <v>299</v>
      </c>
      <c r="D218" s="36"/>
      <c r="E218" s="36" t="s">
        <v>323</v>
      </c>
      <c r="F218" s="39">
        <v>65</v>
      </c>
      <c r="G218" s="37">
        <v>1.86</v>
      </c>
      <c r="H218" s="37">
        <v>1.99</v>
      </c>
      <c r="I218" s="37">
        <v>2.2000000000000002</v>
      </c>
      <c r="J218" s="37"/>
      <c r="K218" s="37">
        <v>2.41</v>
      </c>
      <c r="L218" s="37">
        <v>2.67</v>
      </c>
      <c r="M218" s="37">
        <v>2.97</v>
      </c>
      <c r="N218" s="36">
        <v>3.45</v>
      </c>
      <c r="O218" s="36">
        <v>3.88</v>
      </c>
      <c r="P218" s="36">
        <v>4.3899999999999997</v>
      </c>
      <c r="Q218" s="36">
        <v>4.96</v>
      </c>
      <c r="R218" s="36">
        <v>5.89</v>
      </c>
      <c r="S218" s="36">
        <v>6.87</v>
      </c>
      <c r="T218" s="36">
        <v>7.87</v>
      </c>
      <c r="U218" s="36"/>
      <c r="V218" s="36"/>
      <c r="W218" s="36"/>
      <c r="X218" s="36"/>
      <c r="Y218" s="36"/>
      <c r="Z218" s="36"/>
      <c r="AA218" s="36">
        <v>4.22</v>
      </c>
      <c r="AB218" s="58" t="s">
        <v>331</v>
      </c>
      <c r="AC218" s="36"/>
    </row>
    <row r="219" spans="1:29" outlineLevel="1">
      <c r="A219" s="36" t="s">
        <v>298</v>
      </c>
      <c r="B219" s="36" t="s">
        <v>333</v>
      </c>
      <c r="C219" s="36" t="s">
        <v>299</v>
      </c>
      <c r="D219" s="36"/>
      <c r="E219" s="36" t="s">
        <v>323</v>
      </c>
      <c r="F219" s="39">
        <v>75</v>
      </c>
      <c r="G219" s="36"/>
      <c r="H219" s="36"/>
      <c r="I219" s="36"/>
      <c r="J219" s="36"/>
      <c r="K219" s="38">
        <v>2.78</v>
      </c>
      <c r="L219" s="38">
        <v>3.08</v>
      </c>
      <c r="M219" s="38">
        <v>3.42</v>
      </c>
      <c r="N219" s="37">
        <v>3.98</v>
      </c>
      <c r="O219" s="37">
        <v>4.4800000000000004</v>
      </c>
      <c r="P219" s="37">
        <v>5.07</v>
      </c>
      <c r="Q219" s="36">
        <v>5.63</v>
      </c>
      <c r="R219" s="36">
        <v>6.7</v>
      </c>
      <c r="S219" s="36">
        <v>7.78</v>
      </c>
      <c r="T219" s="36">
        <v>8.86</v>
      </c>
      <c r="U219" s="36"/>
      <c r="V219" s="36"/>
      <c r="W219" s="36"/>
      <c r="X219" s="36"/>
      <c r="Y219" s="36"/>
      <c r="Z219" s="36"/>
      <c r="AA219" s="36">
        <v>4.5199999999999996</v>
      </c>
      <c r="AB219" s="58" t="s">
        <v>331</v>
      </c>
      <c r="AC219" s="36"/>
    </row>
    <row r="220" spans="1:29" outlineLevel="1">
      <c r="A220" s="36" t="s">
        <v>298</v>
      </c>
      <c r="B220" s="36" t="s">
        <v>333</v>
      </c>
      <c r="C220" s="36" t="s">
        <v>299</v>
      </c>
      <c r="D220" s="36"/>
      <c r="E220" s="36" t="s">
        <v>323</v>
      </c>
      <c r="F220" s="39">
        <v>100</v>
      </c>
      <c r="G220" s="36"/>
      <c r="H220" s="36"/>
      <c r="I220" s="36"/>
      <c r="J220" s="36"/>
      <c r="K220" s="36"/>
      <c r="L220" s="36"/>
      <c r="M220" s="38">
        <v>4.5599999999999996</v>
      </c>
      <c r="N220" s="38">
        <v>5.31</v>
      </c>
      <c r="O220" s="38">
        <v>5.97</v>
      </c>
      <c r="P220" s="38">
        <v>6.76</v>
      </c>
      <c r="Q220" s="37">
        <v>7.51</v>
      </c>
      <c r="R220" s="37">
        <v>8.94</v>
      </c>
      <c r="S220" s="37">
        <v>10.38</v>
      </c>
      <c r="T220" s="37">
        <v>11.82</v>
      </c>
      <c r="U220" s="36"/>
      <c r="V220" s="36"/>
      <c r="W220" s="36"/>
      <c r="X220" s="36"/>
      <c r="Y220" s="36"/>
      <c r="Z220" s="36"/>
      <c r="AA220" s="36">
        <v>5.25</v>
      </c>
      <c r="AB220" s="58" t="s">
        <v>331</v>
      </c>
      <c r="AC220" s="36"/>
    </row>
    <row r="221" spans="1:29" outlineLevel="1">
      <c r="A221" s="36" t="s">
        <v>298</v>
      </c>
      <c r="B221" s="36" t="s">
        <v>333</v>
      </c>
      <c r="C221" s="36" t="s">
        <v>299</v>
      </c>
      <c r="D221" s="36"/>
      <c r="E221" s="36" t="s">
        <v>323</v>
      </c>
      <c r="F221" s="39">
        <v>125</v>
      </c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8">
        <v>14.77</v>
      </c>
      <c r="U221" s="36"/>
      <c r="V221" s="36"/>
      <c r="W221" s="36"/>
      <c r="X221" s="36"/>
      <c r="Y221" s="36"/>
      <c r="Z221" s="36"/>
      <c r="AA221" s="37">
        <v>6.57</v>
      </c>
      <c r="AB221" s="58" t="s">
        <v>331</v>
      </c>
      <c r="AC221" s="36"/>
    </row>
    <row r="222" spans="1:29" outlineLevel="1">
      <c r="A222" s="36" t="s">
        <v>298</v>
      </c>
      <c r="B222" s="36" t="s">
        <v>333</v>
      </c>
      <c r="C222" s="36" t="s">
        <v>299</v>
      </c>
      <c r="D222" s="36"/>
      <c r="E222" s="36" t="s">
        <v>323</v>
      </c>
      <c r="F222" s="39">
        <v>140</v>
      </c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8">
        <v>7.35</v>
      </c>
      <c r="AB222" s="58" t="s">
        <v>331</v>
      </c>
      <c r="AC222" s="36"/>
    </row>
    <row r="223" spans="1:29" outlineLevel="1">
      <c r="A223" s="54" t="s">
        <v>331</v>
      </c>
      <c r="B223" s="54" t="s">
        <v>331</v>
      </c>
      <c r="C223" s="54" t="s">
        <v>331</v>
      </c>
      <c r="D223" s="54" t="s">
        <v>331</v>
      </c>
      <c r="E223" s="54" t="s">
        <v>331</v>
      </c>
      <c r="F223" s="54" t="s">
        <v>331</v>
      </c>
      <c r="G223" s="54" t="s">
        <v>331</v>
      </c>
      <c r="H223" s="54" t="s">
        <v>331</v>
      </c>
      <c r="I223" s="54" t="s">
        <v>331</v>
      </c>
      <c r="J223" s="54" t="s">
        <v>331</v>
      </c>
      <c r="K223" s="54" t="s">
        <v>331</v>
      </c>
      <c r="L223" s="54" t="s">
        <v>331</v>
      </c>
      <c r="M223" s="54" t="s">
        <v>331</v>
      </c>
      <c r="N223" s="54" t="s">
        <v>331</v>
      </c>
      <c r="O223" s="54" t="s">
        <v>331</v>
      </c>
      <c r="P223" s="54" t="s">
        <v>331</v>
      </c>
      <c r="Q223" s="54" t="s">
        <v>331</v>
      </c>
      <c r="R223" s="54" t="s">
        <v>331</v>
      </c>
      <c r="S223" s="54" t="s">
        <v>331</v>
      </c>
      <c r="T223" s="54" t="s">
        <v>331</v>
      </c>
      <c r="U223" s="54" t="s">
        <v>331</v>
      </c>
      <c r="V223" s="54" t="s">
        <v>331</v>
      </c>
      <c r="W223" s="54" t="s">
        <v>331</v>
      </c>
      <c r="X223" s="54" t="s">
        <v>331</v>
      </c>
      <c r="Y223" s="54" t="s">
        <v>331</v>
      </c>
      <c r="Z223" s="54" t="s">
        <v>331</v>
      </c>
      <c r="AA223" s="54" t="s">
        <v>331</v>
      </c>
      <c r="AB223" s="54" t="s">
        <v>331</v>
      </c>
      <c r="AC223" s="36"/>
    </row>
    <row r="224" spans="1:29" outlineLevel="1">
      <c r="A224" s="36" t="s">
        <v>298</v>
      </c>
      <c r="B224" s="36" t="s">
        <v>333</v>
      </c>
      <c r="C224" s="36" t="s">
        <v>297</v>
      </c>
      <c r="D224" s="36"/>
      <c r="E224" s="36" t="s">
        <v>330</v>
      </c>
      <c r="F224" s="36">
        <v>30</v>
      </c>
      <c r="G224" s="36">
        <v>2.57</v>
      </c>
      <c r="H224" s="36">
        <v>2.82</v>
      </c>
      <c r="I224" s="36">
        <v>2.98</v>
      </c>
      <c r="J224" s="36"/>
      <c r="K224" s="36">
        <v>3.49</v>
      </c>
      <c r="L224" s="36">
        <v>3.7</v>
      </c>
      <c r="M224" s="36">
        <v>4.08</v>
      </c>
      <c r="N224" s="36">
        <v>4.29</v>
      </c>
      <c r="O224" s="36">
        <v>5.0999999999999996</v>
      </c>
      <c r="P224" s="36">
        <v>6.03</v>
      </c>
      <c r="Q224" s="36">
        <v>6.81</v>
      </c>
      <c r="R224" s="36">
        <v>8.4499999999999993</v>
      </c>
      <c r="S224" s="36">
        <v>10.09</v>
      </c>
      <c r="T224" s="36">
        <v>11.56</v>
      </c>
      <c r="U224" s="36"/>
      <c r="V224" s="36"/>
      <c r="W224" s="36"/>
      <c r="X224" s="36"/>
      <c r="Y224" s="36"/>
      <c r="Z224" s="36"/>
      <c r="AA224" s="36">
        <v>8.94</v>
      </c>
      <c r="AB224" s="58" t="s">
        <v>331</v>
      </c>
      <c r="AC224" s="36"/>
    </row>
    <row r="225" spans="1:29" outlineLevel="1">
      <c r="A225" s="36" t="s">
        <v>298</v>
      </c>
      <c r="B225" s="36" t="s">
        <v>333</v>
      </c>
      <c r="C225" s="36" t="s">
        <v>297</v>
      </c>
      <c r="D225" s="36"/>
      <c r="E225" s="36" t="s">
        <v>330</v>
      </c>
      <c r="F225" s="36">
        <v>40</v>
      </c>
      <c r="G225" s="36">
        <v>3.21</v>
      </c>
      <c r="H225" s="36">
        <v>3.53</v>
      </c>
      <c r="I225" s="36">
        <v>3.74</v>
      </c>
      <c r="J225" s="36"/>
      <c r="K225" s="36">
        <v>4.24</v>
      </c>
      <c r="L225" s="36">
        <v>4.46</v>
      </c>
      <c r="M225" s="36">
        <v>5.03</v>
      </c>
      <c r="N225" s="36">
        <v>5.53</v>
      </c>
      <c r="O225" s="36">
        <v>6.53</v>
      </c>
      <c r="P225" s="36">
        <v>7.47</v>
      </c>
      <c r="Q225" s="36">
        <v>8.5399999999999991</v>
      </c>
      <c r="R225" s="36">
        <v>10.31</v>
      </c>
      <c r="S225" s="36">
        <v>12.23</v>
      </c>
      <c r="T225" s="36">
        <v>14.22</v>
      </c>
      <c r="U225" s="36"/>
      <c r="V225" s="36"/>
      <c r="W225" s="36"/>
      <c r="X225" s="36"/>
      <c r="Y225" s="36"/>
      <c r="Z225" s="36"/>
      <c r="AA225" s="36">
        <v>10.220000000000001</v>
      </c>
      <c r="AB225" s="58" t="s">
        <v>331</v>
      </c>
      <c r="AC225" s="36"/>
    </row>
    <row r="226" spans="1:29" outlineLevel="1">
      <c r="A226" s="36" t="s">
        <v>298</v>
      </c>
      <c r="B226" s="36" t="s">
        <v>333</v>
      </c>
      <c r="C226" s="36" t="s">
        <v>297</v>
      </c>
      <c r="D226" s="36"/>
      <c r="E226" s="36" t="s">
        <v>330</v>
      </c>
      <c r="F226" s="36">
        <v>50</v>
      </c>
      <c r="G226" s="36">
        <v>3.9</v>
      </c>
      <c r="H226" s="36">
        <v>4.1399999999999997</v>
      </c>
      <c r="I226" s="36">
        <v>4.43</v>
      </c>
      <c r="J226" s="36"/>
      <c r="K226" s="36">
        <v>5.04</v>
      </c>
      <c r="L226" s="36">
        <v>5.51</v>
      </c>
      <c r="M226" s="36">
        <v>6.18</v>
      </c>
      <c r="N226" s="36">
        <v>6.51</v>
      </c>
      <c r="O226" s="36">
        <v>7.94</v>
      </c>
      <c r="P226" s="36">
        <v>9.0299999999999994</v>
      </c>
      <c r="Q226" s="36">
        <v>9.9600000000000009</v>
      </c>
      <c r="R226" s="36">
        <v>12.12</v>
      </c>
      <c r="S226" s="36">
        <v>12.27</v>
      </c>
      <c r="T226" s="36">
        <v>16.420000000000002</v>
      </c>
      <c r="U226" s="36"/>
      <c r="V226" s="36"/>
      <c r="W226" s="36"/>
      <c r="X226" s="36"/>
      <c r="Y226" s="36"/>
      <c r="Z226" s="36"/>
      <c r="AA226" s="36">
        <v>11.5</v>
      </c>
      <c r="AB226" s="58" t="s">
        <v>331</v>
      </c>
      <c r="AC226" s="36"/>
    </row>
    <row r="227" spans="1:29" outlineLevel="1">
      <c r="A227" s="36" t="s">
        <v>298</v>
      </c>
      <c r="B227" s="36" t="s">
        <v>333</v>
      </c>
      <c r="C227" s="36" t="s">
        <v>297</v>
      </c>
      <c r="D227" s="36"/>
      <c r="E227" s="36" t="s">
        <v>330</v>
      </c>
      <c r="F227" s="36">
        <v>65</v>
      </c>
      <c r="G227" s="36">
        <v>5.49</v>
      </c>
      <c r="H227" s="36">
        <v>5.79</v>
      </c>
      <c r="I227" s="36">
        <v>6.11</v>
      </c>
      <c r="J227" s="36"/>
      <c r="K227" s="36">
        <v>7.05</v>
      </c>
      <c r="L227" s="36">
        <v>7.5</v>
      </c>
      <c r="M227" s="36">
        <v>8.32</v>
      </c>
      <c r="N227" s="36">
        <v>8.48</v>
      </c>
      <c r="O227" s="36">
        <v>10.27</v>
      </c>
      <c r="P227" s="36">
        <v>11.57</v>
      </c>
      <c r="Q227" s="36">
        <v>12.7</v>
      </c>
      <c r="R227" s="36">
        <v>15.19</v>
      </c>
      <c r="S227" s="36">
        <v>17.75</v>
      </c>
      <c r="T227" s="36">
        <v>20.309999999999999</v>
      </c>
      <c r="U227" s="36"/>
      <c r="V227" s="36"/>
      <c r="W227" s="36"/>
      <c r="X227" s="36"/>
      <c r="Y227" s="36"/>
      <c r="Z227" s="36"/>
      <c r="AA227" s="36">
        <v>13.41</v>
      </c>
      <c r="AB227" s="58" t="s">
        <v>331</v>
      </c>
      <c r="AC227" s="36"/>
    </row>
    <row r="228" spans="1:29" outlineLevel="1">
      <c r="A228" s="36" t="s">
        <v>298</v>
      </c>
      <c r="B228" s="36" t="s">
        <v>333</v>
      </c>
      <c r="C228" s="36" t="s">
        <v>297</v>
      </c>
      <c r="D228" s="36"/>
      <c r="E228" s="36" t="s">
        <v>330</v>
      </c>
      <c r="F228" s="36">
        <v>75</v>
      </c>
      <c r="G228" s="36"/>
      <c r="H228" s="37">
        <v>6.68</v>
      </c>
      <c r="I228" s="37">
        <v>7.05</v>
      </c>
      <c r="J228" s="37"/>
      <c r="K228" s="37">
        <v>8.14</v>
      </c>
      <c r="L228" s="37">
        <v>8.66</v>
      </c>
      <c r="M228" s="37">
        <v>9.6</v>
      </c>
      <c r="N228" s="36">
        <v>10.59</v>
      </c>
      <c r="O228" s="36">
        <v>12.01</v>
      </c>
      <c r="P228" s="36">
        <v>13.44</v>
      </c>
      <c r="Q228" s="36">
        <v>14.6</v>
      </c>
      <c r="R228" s="36">
        <v>17.39</v>
      </c>
      <c r="S228" s="36">
        <v>20.21</v>
      </c>
      <c r="T228" s="36">
        <v>23.04</v>
      </c>
      <c r="U228" s="36"/>
      <c r="V228" s="36"/>
      <c r="W228" s="36"/>
      <c r="X228" s="36"/>
      <c r="Y228" s="36"/>
      <c r="Z228" s="36"/>
      <c r="AA228" s="36">
        <v>14.69</v>
      </c>
      <c r="AB228" s="58" t="s">
        <v>331</v>
      </c>
      <c r="AC228" s="36"/>
    </row>
    <row r="229" spans="1:29" outlineLevel="1">
      <c r="A229" s="36" t="s">
        <v>298</v>
      </c>
      <c r="B229" s="36" t="s">
        <v>333</v>
      </c>
      <c r="C229" s="36" t="s">
        <v>297</v>
      </c>
      <c r="D229" s="36"/>
      <c r="E229" s="36" t="s">
        <v>330</v>
      </c>
      <c r="F229" s="36">
        <v>100</v>
      </c>
      <c r="G229" s="36"/>
      <c r="H229" s="36"/>
      <c r="I229" s="36"/>
      <c r="J229" s="36"/>
      <c r="K229" s="36"/>
      <c r="L229" s="38">
        <v>11.6</v>
      </c>
      <c r="M229" s="38">
        <v>12.8</v>
      </c>
      <c r="N229" s="37">
        <v>14.12</v>
      </c>
      <c r="O229" s="37">
        <v>16.02</v>
      </c>
      <c r="P229" s="37">
        <v>17.920000000000002</v>
      </c>
      <c r="Q229" s="37">
        <v>19.47</v>
      </c>
      <c r="R229" s="36">
        <v>23.36</v>
      </c>
      <c r="S229" s="36">
        <v>26.85</v>
      </c>
      <c r="T229" s="36">
        <v>30.35</v>
      </c>
      <c r="U229" s="36"/>
      <c r="V229" s="36"/>
      <c r="W229" s="36"/>
      <c r="X229" s="36"/>
      <c r="Y229" s="36"/>
      <c r="Z229" s="36"/>
      <c r="AA229" s="36">
        <v>17.88</v>
      </c>
      <c r="AB229" s="58" t="s">
        <v>331</v>
      </c>
      <c r="AC229" s="36"/>
    </row>
    <row r="230" spans="1:29" outlineLevel="1">
      <c r="A230" s="36" t="s">
        <v>298</v>
      </c>
      <c r="B230" s="36" t="s">
        <v>333</v>
      </c>
      <c r="C230" s="36" t="s">
        <v>297</v>
      </c>
      <c r="D230" s="36"/>
      <c r="E230" s="36" t="s">
        <v>330</v>
      </c>
      <c r="F230" s="36">
        <v>125</v>
      </c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7">
        <v>29.2</v>
      </c>
      <c r="S230" s="37">
        <v>33.57</v>
      </c>
      <c r="T230" s="37">
        <v>37.94</v>
      </c>
      <c r="U230" s="36"/>
      <c r="V230" s="36"/>
      <c r="W230" s="36"/>
      <c r="X230" s="36"/>
      <c r="Y230" s="36"/>
      <c r="Z230" s="36"/>
      <c r="AA230" s="36">
        <v>21.07</v>
      </c>
      <c r="AB230" s="58" t="s">
        <v>331</v>
      </c>
      <c r="AC230" s="36"/>
    </row>
    <row r="231" spans="1:29" outlineLevel="1">
      <c r="A231" s="36" t="s">
        <v>298</v>
      </c>
      <c r="B231" s="36" t="s">
        <v>333</v>
      </c>
      <c r="C231" s="36" t="s">
        <v>297</v>
      </c>
      <c r="D231" s="36"/>
      <c r="E231" s="36" t="s">
        <v>330</v>
      </c>
      <c r="F231" s="36">
        <v>140</v>
      </c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7">
        <v>23.6</v>
      </c>
      <c r="AB231" s="58" t="s">
        <v>331</v>
      </c>
      <c r="AC231" s="36"/>
    </row>
    <row r="232" spans="1:29" outlineLevel="1">
      <c r="A232" s="54" t="s">
        <v>331</v>
      </c>
      <c r="B232" s="54" t="s">
        <v>331</v>
      </c>
      <c r="C232" s="54" t="s">
        <v>331</v>
      </c>
      <c r="D232" s="54" t="s">
        <v>331</v>
      </c>
      <c r="E232" s="54" t="s">
        <v>331</v>
      </c>
      <c r="F232" s="54" t="s">
        <v>331</v>
      </c>
      <c r="G232" s="54" t="s">
        <v>331</v>
      </c>
      <c r="H232" s="54" t="s">
        <v>331</v>
      </c>
      <c r="I232" s="54" t="s">
        <v>331</v>
      </c>
      <c r="J232" s="54" t="s">
        <v>331</v>
      </c>
      <c r="K232" s="54" t="s">
        <v>331</v>
      </c>
      <c r="L232" s="54" t="s">
        <v>331</v>
      </c>
      <c r="M232" s="54" t="s">
        <v>331</v>
      </c>
      <c r="N232" s="54" t="s">
        <v>331</v>
      </c>
      <c r="O232" s="54" t="s">
        <v>331</v>
      </c>
      <c r="P232" s="54" t="s">
        <v>331</v>
      </c>
      <c r="Q232" s="54" t="s">
        <v>331</v>
      </c>
      <c r="R232" s="54" t="s">
        <v>331</v>
      </c>
      <c r="S232" s="54" t="s">
        <v>331</v>
      </c>
      <c r="T232" s="54" t="s">
        <v>331</v>
      </c>
      <c r="U232" s="54" t="s">
        <v>331</v>
      </c>
      <c r="V232" s="54" t="s">
        <v>331</v>
      </c>
      <c r="W232" s="54" t="s">
        <v>331</v>
      </c>
      <c r="X232" s="54" t="s">
        <v>331</v>
      </c>
      <c r="Y232" s="54" t="s">
        <v>331</v>
      </c>
      <c r="Z232" s="54" t="s">
        <v>331</v>
      </c>
      <c r="AA232" s="54" t="s">
        <v>331</v>
      </c>
      <c r="AB232" s="54" t="s">
        <v>331</v>
      </c>
      <c r="AC232" s="36"/>
    </row>
    <row r="233" spans="1:29" s="53" customFormat="1">
      <c r="A233" s="33" t="s">
        <v>296</v>
      </c>
      <c r="B233" s="33"/>
      <c r="C233" s="33"/>
      <c r="D233" s="33"/>
      <c r="E233" s="33"/>
      <c r="F233" s="33"/>
      <c r="G233" s="33"/>
      <c r="H233" s="35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3"/>
      <c r="V233" s="33"/>
      <c r="W233" s="33"/>
      <c r="X233" s="33"/>
      <c r="Y233" s="33"/>
      <c r="Z233" s="33"/>
      <c r="AA233" s="34"/>
      <c r="AB233" s="54" t="s">
        <v>331</v>
      </c>
    </row>
    <row r="234" spans="1:29">
      <c r="AB234" s="54" t="s">
        <v>331</v>
      </c>
    </row>
    <row r="235" spans="1:29">
      <c r="A235" s="32" t="s">
        <v>335</v>
      </c>
      <c r="B235" s="32" t="s">
        <v>339</v>
      </c>
      <c r="C235" s="32" t="s">
        <v>336</v>
      </c>
      <c r="F235" s="32" t="s">
        <v>337</v>
      </c>
      <c r="G235" s="32">
        <v>0.6</v>
      </c>
      <c r="H235" s="32">
        <v>0.6</v>
      </c>
      <c r="I235" s="32">
        <v>0.6</v>
      </c>
      <c r="J235" s="32">
        <v>0.8</v>
      </c>
      <c r="K235" s="32">
        <v>0.8</v>
      </c>
      <c r="L235" s="32">
        <v>0.8</v>
      </c>
      <c r="M235" s="32">
        <v>0.8</v>
      </c>
      <c r="N235" s="32">
        <v>1</v>
      </c>
      <c r="O235" s="32">
        <v>1</v>
      </c>
      <c r="P235" s="32">
        <v>1</v>
      </c>
      <c r="Q235" s="32">
        <v>1</v>
      </c>
      <c r="R235" s="32">
        <v>1.2</v>
      </c>
      <c r="S235" s="32">
        <v>1.2</v>
      </c>
      <c r="T235" s="32">
        <v>1.2</v>
      </c>
      <c r="U235" s="32">
        <v>2</v>
      </c>
      <c r="AA235" s="32">
        <v>1</v>
      </c>
      <c r="AB235" s="54" t="s">
        <v>331</v>
      </c>
    </row>
    <row r="236" spans="1:29">
      <c r="A236" s="32" t="s">
        <v>335</v>
      </c>
      <c r="F236" s="32" t="s">
        <v>338</v>
      </c>
      <c r="AB236" s="54"/>
    </row>
    <row r="237" spans="1:29">
      <c r="AB237" s="54" t="s">
        <v>331</v>
      </c>
    </row>
    <row r="238" spans="1:29" s="53" customFormat="1">
      <c r="A238" s="33" t="s">
        <v>296</v>
      </c>
      <c r="B238" s="33"/>
      <c r="C238" s="33"/>
      <c r="D238" s="33"/>
      <c r="E238" s="33"/>
      <c r="F238" s="33"/>
      <c r="G238" s="33"/>
      <c r="H238" s="35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3"/>
      <c r="V238" s="33"/>
      <c r="W238" s="33"/>
      <c r="X238" s="33"/>
      <c r="Y238" s="33"/>
      <c r="Z238" s="33"/>
      <c r="AA238" s="34"/>
      <c r="AB238" s="54" t="s">
        <v>331</v>
      </c>
    </row>
    <row r="239" spans="1:29">
      <c r="AB239" s="54" t="s">
        <v>331</v>
      </c>
    </row>
  </sheetData>
  <autoFilter ref="A3:AD234"/>
  <phoneticPr fontId="2"/>
  <printOptions headings="1" gridLines="1"/>
  <pageMargins left="0.19685039370078741" right="0.19685039370078741" top="0.19685039370078741" bottom="0.23622047244094491" header="0.19685039370078741" footer="0.19685039370078741"/>
  <pageSetup paperSize="9" scale="50" orientation="portrait" horizontalDpi="4294967292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6"/>
  <sheetViews>
    <sheetView zoomScaleNormal="100" workbookViewId="0">
      <selection activeCell="L14" sqref="L14"/>
    </sheetView>
  </sheetViews>
  <sheetFormatPr defaultRowHeight="10.5"/>
  <cols>
    <col min="1" max="1" width="2.625" style="25" customWidth="1"/>
    <col min="2" max="2" width="5.25" style="25" bestFit="1" customWidth="1"/>
    <col min="3" max="3" width="2.625" style="25" customWidth="1"/>
    <col min="4" max="4" width="11.375" style="25" bestFit="1" customWidth="1"/>
    <col min="5" max="5" width="2.625" style="25" customWidth="1"/>
    <col min="6" max="6" width="7.5" style="25" bestFit="1" customWidth="1"/>
    <col min="7" max="7" width="2.625" style="25" customWidth="1"/>
    <col min="8" max="8" width="11.375" style="25" bestFit="1" customWidth="1"/>
    <col min="9" max="9" width="2.625" style="25" customWidth="1"/>
    <col min="10" max="10" width="11.375" style="25" customWidth="1"/>
    <col min="11" max="11" width="2.625" style="25" customWidth="1"/>
    <col min="12" max="12" width="12.125" style="25" customWidth="1"/>
    <col min="13" max="14" width="2.625" style="25" customWidth="1"/>
    <col min="15" max="15" width="9.75" style="25" bestFit="1" customWidth="1"/>
    <col min="16" max="17" width="2.625" style="25" customWidth="1"/>
    <col min="18" max="18" width="6" style="25" bestFit="1" customWidth="1"/>
    <col min="19" max="19" width="2.625" style="25" customWidth="1"/>
    <col min="20" max="20" width="7.5" style="25" bestFit="1" customWidth="1"/>
    <col min="21" max="21" width="2.625" style="25" customWidth="1"/>
    <col min="22" max="22" width="11.375" style="25" bestFit="1" customWidth="1"/>
    <col min="23" max="23" width="2.625" style="25" customWidth="1"/>
    <col min="24" max="24" width="3.75" style="25" bestFit="1" customWidth="1"/>
    <col min="25" max="25" width="2.625" style="25" customWidth="1"/>
    <col min="26" max="26" width="12.25" style="25" bestFit="1" customWidth="1"/>
    <col min="27" max="16384" width="9" style="25"/>
  </cols>
  <sheetData>
    <row r="1" spans="1:26">
      <c r="A1" s="27" t="s">
        <v>136</v>
      </c>
      <c r="B1" s="27"/>
      <c r="C1" s="27" t="s">
        <v>141</v>
      </c>
      <c r="D1" s="27"/>
      <c r="E1" s="27" t="s">
        <v>147</v>
      </c>
      <c r="F1" s="27"/>
      <c r="G1" s="27" t="s">
        <v>153</v>
      </c>
      <c r="H1" s="27"/>
      <c r="I1" s="27" t="s">
        <v>294</v>
      </c>
      <c r="J1" s="27"/>
      <c r="K1" s="27" t="s">
        <v>173</v>
      </c>
      <c r="L1" s="27"/>
      <c r="M1" s="27" t="s">
        <v>190</v>
      </c>
      <c r="N1" s="27"/>
      <c r="O1" s="27"/>
      <c r="P1" s="27" t="s">
        <v>194</v>
      </c>
      <c r="Q1" s="27"/>
      <c r="R1" s="27"/>
      <c r="S1" s="27" t="s">
        <v>268</v>
      </c>
      <c r="T1" s="27"/>
      <c r="U1" s="27" t="s">
        <v>273</v>
      </c>
      <c r="V1" s="27"/>
      <c r="W1" s="27" t="s">
        <v>180</v>
      </c>
      <c r="X1" s="27"/>
      <c r="Y1" s="27" t="s">
        <v>295</v>
      </c>
      <c r="Z1" s="27"/>
    </row>
    <row r="2" spans="1:26">
      <c r="A2" s="26" t="s">
        <v>137</v>
      </c>
      <c r="B2" s="26" t="s">
        <v>139</v>
      </c>
      <c r="C2" s="26" t="s">
        <v>0</v>
      </c>
      <c r="D2" s="26" t="s">
        <v>142</v>
      </c>
      <c r="E2" s="26" t="s">
        <v>152</v>
      </c>
      <c r="F2" s="26" t="s">
        <v>148</v>
      </c>
      <c r="G2" s="26" t="s">
        <v>154</v>
      </c>
      <c r="H2" s="26" t="s">
        <v>1</v>
      </c>
      <c r="I2" s="26" t="s">
        <v>163</v>
      </c>
      <c r="J2" s="26" t="s">
        <v>164</v>
      </c>
      <c r="K2" s="26" t="s">
        <v>154</v>
      </c>
      <c r="L2" s="26" t="s">
        <v>235</v>
      </c>
      <c r="M2" s="26" t="s">
        <v>221</v>
      </c>
      <c r="N2" s="26" t="s">
        <v>211</v>
      </c>
      <c r="O2" s="26" t="s">
        <v>10</v>
      </c>
      <c r="P2" s="26" t="s">
        <v>214</v>
      </c>
      <c r="Q2" s="26" t="s">
        <v>4</v>
      </c>
      <c r="R2" s="26" t="s">
        <v>5</v>
      </c>
      <c r="S2" s="26" t="s">
        <v>269</v>
      </c>
      <c r="T2" s="26" t="s">
        <v>270</v>
      </c>
      <c r="U2" s="26" t="s">
        <v>274</v>
      </c>
      <c r="V2" s="26" t="s">
        <v>275</v>
      </c>
      <c r="W2" s="26">
        <v>1</v>
      </c>
      <c r="X2" s="26" t="s">
        <v>181</v>
      </c>
      <c r="Y2" s="26" t="s">
        <v>238</v>
      </c>
      <c r="Z2" s="26" t="s">
        <v>184</v>
      </c>
    </row>
    <row r="3" spans="1:26">
      <c r="A3" s="26" t="s">
        <v>138</v>
      </c>
      <c r="B3" s="26" t="s">
        <v>140</v>
      </c>
      <c r="C3" s="26" t="s">
        <v>9</v>
      </c>
      <c r="D3" s="26" t="s">
        <v>143</v>
      </c>
      <c r="E3" s="26" t="s">
        <v>149</v>
      </c>
      <c r="F3" s="26" t="s">
        <v>150</v>
      </c>
      <c r="G3" s="26" t="s">
        <v>155</v>
      </c>
      <c r="H3" s="26" t="s">
        <v>156</v>
      </c>
      <c r="I3" s="26" t="s">
        <v>165</v>
      </c>
      <c r="J3" s="26" t="s">
        <v>166</v>
      </c>
      <c r="K3" s="26" t="s">
        <v>155</v>
      </c>
      <c r="L3" s="26" t="s">
        <v>174</v>
      </c>
      <c r="M3" s="30" t="s">
        <v>204</v>
      </c>
      <c r="N3" s="30" t="s">
        <v>3</v>
      </c>
      <c r="O3" s="26" t="s">
        <v>199</v>
      </c>
      <c r="P3" s="26" t="s">
        <v>215</v>
      </c>
      <c r="Q3" s="26" t="s">
        <v>7</v>
      </c>
      <c r="R3" s="26" t="s">
        <v>8</v>
      </c>
      <c r="S3" s="26" t="s">
        <v>138</v>
      </c>
      <c r="T3" s="26" t="s">
        <v>271</v>
      </c>
      <c r="U3" s="26" t="s">
        <v>276</v>
      </c>
      <c r="V3" s="26" t="s">
        <v>277</v>
      </c>
      <c r="W3" s="26">
        <v>2</v>
      </c>
      <c r="X3" s="26" t="s">
        <v>182</v>
      </c>
      <c r="Y3" s="26" t="s">
        <v>239</v>
      </c>
      <c r="Z3" s="26" t="s">
        <v>185</v>
      </c>
    </row>
    <row r="4" spans="1:26">
      <c r="A4" s="28" t="s">
        <v>195</v>
      </c>
      <c r="B4" s="28"/>
      <c r="C4" s="26" t="s">
        <v>13</v>
      </c>
      <c r="D4" s="26" t="s">
        <v>144</v>
      </c>
      <c r="E4" s="26" t="s">
        <v>97</v>
      </c>
      <c r="F4" s="26" t="s">
        <v>151</v>
      </c>
      <c r="G4" s="26" t="s">
        <v>157</v>
      </c>
      <c r="H4" s="26" t="s">
        <v>19</v>
      </c>
      <c r="I4" s="26" t="s">
        <v>167</v>
      </c>
      <c r="J4" s="26" t="s">
        <v>168</v>
      </c>
      <c r="K4" s="26" t="s">
        <v>175</v>
      </c>
      <c r="L4" s="26" t="s">
        <v>231</v>
      </c>
      <c r="M4" s="30" t="s">
        <v>205</v>
      </c>
      <c r="N4" s="30" t="s">
        <v>6</v>
      </c>
      <c r="O4" s="26" t="s">
        <v>200</v>
      </c>
      <c r="P4" s="26" t="s">
        <v>216</v>
      </c>
      <c r="Q4" s="26" t="s">
        <v>11</v>
      </c>
      <c r="R4" s="26" t="s">
        <v>12</v>
      </c>
      <c r="S4" s="28" t="s">
        <v>92</v>
      </c>
      <c r="T4" s="28"/>
      <c r="U4" s="26" t="s">
        <v>278</v>
      </c>
      <c r="V4" s="26" t="s">
        <v>279</v>
      </c>
      <c r="W4" s="26">
        <v>3</v>
      </c>
      <c r="X4" s="26" t="s">
        <v>183</v>
      </c>
      <c r="Y4" s="26" t="s">
        <v>240</v>
      </c>
      <c r="Z4" s="26" t="s">
        <v>186</v>
      </c>
    </row>
    <row r="5" spans="1:26">
      <c r="A5" s="28"/>
      <c r="B5" s="28"/>
      <c r="C5" s="26" t="s">
        <v>18</v>
      </c>
      <c r="D5" s="26" t="s">
        <v>145</v>
      </c>
      <c r="E5" s="28" t="s">
        <v>195</v>
      </c>
      <c r="F5" s="28"/>
      <c r="G5" s="26" t="s">
        <v>158</v>
      </c>
      <c r="H5" s="26" t="s">
        <v>14</v>
      </c>
      <c r="I5" s="26" t="s">
        <v>169</v>
      </c>
      <c r="J5" s="26" t="s">
        <v>170</v>
      </c>
      <c r="K5" s="26" t="s">
        <v>159</v>
      </c>
      <c r="L5" s="26" t="s">
        <v>237</v>
      </c>
      <c r="M5" s="30" t="s">
        <v>206</v>
      </c>
      <c r="N5" s="30" t="s">
        <v>15</v>
      </c>
      <c r="O5" s="26" t="s">
        <v>201</v>
      </c>
      <c r="P5" s="26" t="s">
        <v>217</v>
      </c>
      <c r="Q5" s="26" t="s">
        <v>16</v>
      </c>
      <c r="R5" s="26" t="s">
        <v>17</v>
      </c>
      <c r="S5" s="28"/>
      <c r="T5" s="28"/>
      <c r="U5" s="31" t="s">
        <v>280</v>
      </c>
      <c r="V5" s="31" t="s">
        <v>281</v>
      </c>
      <c r="W5" s="28" t="s">
        <v>195</v>
      </c>
      <c r="X5" s="28"/>
      <c r="Y5" s="26" t="s">
        <v>241</v>
      </c>
      <c r="Z5" s="26" t="s">
        <v>187</v>
      </c>
    </row>
    <row r="6" spans="1:26">
      <c r="A6" s="28"/>
      <c r="B6" s="28"/>
      <c r="C6" s="26" t="s">
        <v>22</v>
      </c>
      <c r="D6" s="26" t="s">
        <v>146</v>
      </c>
      <c r="E6" s="28"/>
      <c r="F6" s="28"/>
      <c r="G6" s="26" t="s">
        <v>159</v>
      </c>
      <c r="H6" s="26" t="s">
        <v>23</v>
      </c>
      <c r="I6" s="26" t="s">
        <v>171</v>
      </c>
      <c r="J6" s="26" t="s">
        <v>172</v>
      </c>
      <c r="K6" s="26" t="s">
        <v>160</v>
      </c>
      <c r="L6" s="26" t="s">
        <v>229</v>
      </c>
      <c r="M6" s="30" t="s">
        <v>207</v>
      </c>
      <c r="N6" s="30" t="s">
        <v>24</v>
      </c>
      <c r="O6" s="26" t="s">
        <v>25</v>
      </c>
      <c r="P6" s="26" t="s">
        <v>219</v>
      </c>
      <c r="Q6" s="26" t="s">
        <v>20</v>
      </c>
      <c r="R6" s="26" t="s">
        <v>21</v>
      </c>
      <c r="S6" s="28"/>
      <c r="T6" s="28"/>
      <c r="U6" s="31" t="s">
        <v>282</v>
      </c>
      <c r="V6" s="31" t="s">
        <v>283</v>
      </c>
      <c r="W6" s="28"/>
      <c r="X6" s="28"/>
      <c r="Y6" s="26" t="s">
        <v>242</v>
      </c>
      <c r="Z6" s="26" t="s">
        <v>188</v>
      </c>
    </row>
    <row r="7" spans="1:26">
      <c r="A7" s="28"/>
      <c r="B7" s="28"/>
      <c r="C7" s="28" t="s">
        <v>195</v>
      </c>
      <c r="D7" s="28"/>
      <c r="E7" s="28"/>
      <c r="F7" s="28"/>
      <c r="G7" s="26" t="s">
        <v>160</v>
      </c>
      <c r="H7" s="26" t="s">
        <v>28</v>
      </c>
      <c r="I7" s="28" t="s">
        <v>193</v>
      </c>
      <c r="J7" s="28"/>
      <c r="K7" s="26" t="s">
        <v>161</v>
      </c>
      <c r="L7" s="26" t="s">
        <v>236</v>
      </c>
      <c r="M7" s="30" t="s">
        <v>208</v>
      </c>
      <c r="N7" s="30" t="s">
        <v>29</v>
      </c>
      <c r="O7" s="26" t="s">
        <v>202</v>
      </c>
      <c r="P7" s="26" t="s">
        <v>220</v>
      </c>
      <c r="Q7" s="26" t="s">
        <v>26</v>
      </c>
      <c r="R7" s="26" t="s">
        <v>27</v>
      </c>
      <c r="S7" s="28"/>
      <c r="T7" s="28"/>
      <c r="U7" s="31" t="s">
        <v>284</v>
      </c>
      <c r="V7" s="31" t="s">
        <v>285</v>
      </c>
      <c r="W7" s="28"/>
      <c r="X7" s="28"/>
      <c r="Y7" s="26" t="s">
        <v>243</v>
      </c>
      <c r="Z7" s="26" t="s">
        <v>272</v>
      </c>
    </row>
    <row r="8" spans="1:26">
      <c r="A8" s="28"/>
      <c r="B8" s="28"/>
      <c r="C8" s="28"/>
      <c r="D8" s="28"/>
      <c r="E8" s="28"/>
      <c r="F8" s="28"/>
      <c r="G8" s="26" t="s">
        <v>161</v>
      </c>
      <c r="H8" s="26" t="s">
        <v>30</v>
      </c>
      <c r="I8" s="28"/>
      <c r="J8" s="28"/>
      <c r="K8" s="26" t="s">
        <v>162</v>
      </c>
      <c r="L8" s="26" t="s">
        <v>228</v>
      </c>
      <c r="M8" s="30" t="s">
        <v>209</v>
      </c>
      <c r="N8" s="30" t="s">
        <v>31</v>
      </c>
      <c r="O8" s="26" t="s">
        <v>32</v>
      </c>
      <c r="P8" s="26" t="s">
        <v>218</v>
      </c>
      <c r="Q8" s="26" t="s">
        <v>212</v>
      </c>
      <c r="R8" s="26" t="s">
        <v>213</v>
      </c>
      <c r="S8" s="28"/>
      <c r="T8" s="28"/>
      <c r="U8" s="28" t="s">
        <v>195</v>
      </c>
      <c r="V8" s="28"/>
      <c r="W8" s="28"/>
      <c r="X8" s="28"/>
      <c r="Y8" s="26" t="s">
        <v>244</v>
      </c>
      <c r="Z8" s="26" t="s">
        <v>189</v>
      </c>
    </row>
    <row r="9" spans="1:26">
      <c r="A9" s="28"/>
      <c r="B9" s="28"/>
      <c r="C9" s="28"/>
      <c r="D9" s="28"/>
      <c r="E9" s="28"/>
      <c r="F9" s="28"/>
      <c r="G9" s="26" t="s">
        <v>162</v>
      </c>
      <c r="H9" s="26" t="s">
        <v>33</v>
      </c>
      <c r="I9" s="28"/>
      <c r="J9" s="28"/>
      <c r="K9" s="28" t="s">
        <v>195</v>
      </c>
      <c r="L9" s="28"/>
      <c r="M9" s="30" t="s">
        <v>210</v>
      </c>
      <c r="N9" s="30" t="s">
        <v>34</v>
      </c>
      <c r="O9" s="26" t="s">
        <v>203</v>
      </c>
      <c r="P9" s="28" t="s">
        <v>195</v>
      </c>
      <c r="Q9" s="28"/>
      <c r="R9" s="28"/>
      <c r="S9" s="28"/>
      <c r="T9" s="28"/>
      <c r="U9" s="28"/>
      <c r="V9" s="28"/>
      <c r="W9" s="28"/>
      <c r="X9" s="28"/>
      <c r="Y9" s="28" t="s">
        <v>195</v>
      </c>
      <c r="Z9" s="28"/>
    </row>
    <row r="10" spans="1:26">
      <c r="A10" s="28"/>
      <c r="B10" s="28"/>
      <c r="C10" s="28"/>
      <c r="D10" s="28"/>
      <c r="E10" s="28"/>
      <c r="F10" s="28"/>
      <c r="G10" s="26" t="s">
        <v>163</v>
      </c>
      <c r="H10" s="26" t="s">
        <v>164</v>
      </c>
      <c r="I10" s="28"/>
      <c r="J10" s="28"/>
      <c r="K10" s="28"/>
      <c r="L10" s="28"/>
      <c r="M10" s="28" t="s">
        <v>195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>
      <c r="A11" s="28"/>
      <c r="B11" s="28"/>
      <c r="C11" s="28"/>
      <c r="D11" s="28"/>
      <c r="E11" s="28"/>
      <c r="F11" s="28"/>
      <c r="G11" s="26" t="s">
        <v>165</v>
      </c>
      <c r="H11" s="26" t="s">
        <v>166</v>
      </c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>
      <c r="A12" s="28"/>
      <c r="B12" s="28"/>
      <c r="C12" s="28"/>
      <c r="D12" s="28"/>
      <c r="E12" s="28"/>
      <c r="F12" s="28"/>
      <c r="G12" s="26" t="s">
        <v>167</v>
      </c>
      <c r="H12" s="26" t="s">
        <v>168</v>
      </c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>
      <c r="A13" s="28"/>
      <c r="B13" s="28"/>
      <c r="C13" s="28"/>
      <c r="D13" s="28"/>
      <c r="E13" s="28"/>
      <c r="F13" s="28"/>
      <c r="G13" s="26" t="s">
        <v>169</v>
      </c>
      <c r="H13" s="26" t="s">
        <v>170</v>
      </c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>
      <c r="A14" s="28"/>
      <c r="B14" s="28"/>
      <c r="C14" s="28"/>
      <c r="D14" s="28"/>
      <c r="E14" s="28"/>
      <c r="F14" s="28"/>
      <c r="G14" s="26" t="s">
        <v>171</v>
      </c>
      <c r="H14" s="26" t="s">
        <v>172</v>
      </c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>
      <c r="A15" s="28"/>
      <c r="B15" s="28"/>
      <c r="C15" s="28"/>
      <c r="D15" s="28"/>
      <c r="E15" s="28"/>
      <c r="F15" s="28"/>
      <c r="G15" s="28" t="s">
        <v>195</v>
      </c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6"/>
  <sheetViews>
    <sheetView zoomScaleNormal="100" workbookViewId="0">
      <selection activeCell="E10" sqref="E10"/>
    </sheetView>
  </sheetViews>
  <sheetFormatPr defaultRowHeight="10.5"/>
  <cols>
    <col min="1" max="2" width="4.75" style="25" customWidth="1"/>
    <col min="3" max="3" width="6.5" style="25" customWidth="1"/>
    <col min="4" max="16384" width="9" style="25"/>
  </cols>
  <sheetData>
    <row r="1" spans="1:3">
      <c r="A1" s="27" t="s">
        <v>340</v>
      </c>
      <c r="B1" s="27"/>
      <c r="C1" s="27"/>
    </row>
    <row r="2" spans="1:3">
      <c r="A2" s="26" t="s">
        <v>341</v>
      </c>
      <c r="B2" s="26">
        <v>0</v>
      </c>
      <c r="C2" s="26">
        <v>600</v>
      </c>
    </row>
    <row r="3" spans="1:3">
      <c r="A3" s="26" t="s">
        <v>342</v>
      </c>
      <c r="B3" s="26">
        <v>0</v>
      </c>
      <c r="C3" s="26">
        <v>800</v>
      </c>
    </row>
    <row r="4" spans="1:3">
      <c r="A4" s="26" t="s">
        <v>343</v>
      </c>
      <c r="B4" s="26">
        <v>-20</v>
      </c>
      <c r="C4" s="26">
        <v>600</v>
      </c>
    </row>
    <row r="5" spans="1:3">
      <c r="A5" s="26" t="s">
        <v>344</v>
      </c>
      <c r="B5" s="26">
        <v>-20</v>
      </c>
      <c r="C5" s="26">
        <v>200</v>
      </c>
    </row>
    <row r="6" spans="1:3">
      <c r="A6" s="26" t="s">
        <v>345</v>
      </c>
      <c r="B6" s="26">
        <v>-50</v>
      </c>
      <c r="C6" s="26">
        <v>70</v>
      </c>
    </row>
    <row r="7" spans="1:3">
      <c r="A7" s="26" t="s">
        <v>346</v>
      </c>
      <c r="B7" s="26">
        <v>-100</v>
      </c>
      <c r="C7" s="26">
        <v>70</v>
      </c>
    </row>
    <row r="8" spans="1:3">
      <c r="A8" s="28" t="s">
        <v>347</v>
      </c>
      <c r="B8" s="28"/>
      <c r="C8" s="28"/>
    </row>
    <row r="9" spans="1:3">
      <c r="A9" s="28"/>
      <c r="B9" s="28"/>
      <c r="C9" s="28"/>
    </row>
    <row r="10" spans="1:3">
      <c r="A10" s="28"/>
      <c r="B10" s="28"/>
      <c r="C10" s="28"/>
    </row>
    <row r="11" spans="1:3">
      <c r="A11" s="28"/>
      <c r="B11" s="28"/>
      <c r="C11" s="28"/>
    </row>
    <row r="12" spans="1:3">
      <c r="A12" s="28"/>
      <c r="B12" s="28"/>
      <c r="C12" s="28"/>
    </row>
    <row r="13" spans="1:3">
      <c r="A13" s="28"/>
      <c r="B13" s="28"/>
      <c r="C13" s="28"/>
    </row>
    <row r="14" spans="1:3">
      <c r="A14" s="28"/>
      <c r="B14" s="28"/>
      <c r="C14" s="28"/>
    </row>
    <row r="15" spans="1:3">
      <c r="A15" s="28"/>
      <c r="B15" s="28"/>
      <c r="C15" s="28"/>
    </row>
    <row r="16" spans="1:3">
      <c r="A16" s="28"/>
      <c r="B16" s="28"/>
      <c r="C16" s="28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39</vt:i4>
      </vt:variant>
    </vt:vector>
  </HeadingPairs>
  <TitlesOfParts>
    <vt:vector size="43" baseType="lpstr">
      <vt:lpstr>Pipe_Data</vt:lpstr>
      <vt:lpstr>Insulation_Data</vt:lpstr>
      <vt:lpstr>Param1</vt:lpstr>
      <vt:lpstr>Param2</vt:lpstr>
      <vt:lpstr>工数歩掛_ﾌﾗﾝｼﾞ取付</vt:lpstr>
      <vt:lpstr>工数歩掛_ﾌﾗﾝｼﾞ溶接</vt:lpstr>
      <vt:lpstr>工数歩掛_突合せ溶接</vt:lpstr>
      <vt:lpstr>工数歩掛_配管</vt:lpstr>
      <vt:lpstr>工数歩掛_弁取付</vt:lpstr>
      <vt:lpstr>材料単価_ｴﾙﾎﾞ</vt:lpstr>
      <vt:lpstr>材料単価_ｸﾛｽ</vt:lpstr>
      <vt:lpstr>材料単価_ﾃｨｰ</vt:lpstr>
      <vt:lpstr>材料単価_ﾌﾗﾝｼﾞ</vt:lpstr>
      <vt:lpstr>材料単価_ﾚﾃﾞｭｰｻ</vt:lpstr>
      <vt:lpstr>材料単価_配管</vt:lpstr>
      <vt:lpstr>材料単価_弁ｸﾞﾛｰﾌﾞ</vt:lpstr>
      <vt:lpstr>材料単価_弁ｹﾞｰﾄ</vt:lpstr>
      <vt:lpstr>材料単価_弁ﾀﾞｲﾔﾌﾗﾑ</vt:lpstr>
      <vt:lpstr>材料単価_弁ﾊﾞﾀﾌﾗｲ</vt:lpstr>
      <vt:lpstr>材料単価_弁ﾌﾟﾗｸﾞ</vt:lpstr>
      <vt:lpstr>材料単価_弁ﾎﾞｰﾙ</vt:lpstr>
      <vt:lpstr>材料単価_弁逆止</vt:lpstr>
      <vt:lpstr>単位重量_配管</vt:lpstr>
      <vt:lpstr>断熱_厚さCS</vt:lpstr>
      <vt:lpstr>断熱_厚さGW</vt:lpstr>
      <vt:lpstr>断熱_厚さPL</vt:lpstr>
      <vt:lpstr>断熱_厚さRW</vt:lpstr>
      <vt:lpstr>断熱_厚さSF</vt:lpstr>
      <vt:lpstr>断熱_厚さUF</vt:lpstr>
      <vt:lpstr>断熱_工数歩掛CS</vt:lpstr>
      <vt:lpstr>断熱_工数歩掛GW</vt:lpstr>
      <vt:lpstr>断熱_工数歩掛PL</vt:lpstr>
      <vt:lpstr>断熱_工数歩掛RW</vt:lpstr>
      <vt:lpstr>断熱_工数歩掛SF</vt:lpstr>
      <vt:lpstr>断熱_工数歩掛UF</vt:lpstr>
      <vt:lpstr>断熱_材料単価CS</vt:lpstr>
      <vt:lpstr>断熱_材料単価GW</vt:lpstr>
      <vt:lpstr>断熱_材料単価PL</vt:lpstr>
      <vt:lpstr>断熱_材料単価RW</vt:lpstr>
      <vt:lpstr>断熱_材料単価SF</vt:lpstr>
      <vt:lpstr>断熱_材料単価UF</vt:lpstr>
      <vt:lpstr>断熱_配管径</vt:lpstr>
      <vt:lpstr>配管径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Minoru Fukuda</dc:creator>
  <cp:lastModifiedBy>MCI</cp:lastModifiedBy>
  <cp:revision>1</cp:revision>
  <dcterms:created xsi:type="dcterms:W3CDTF">2016-02-16T06:33:28Z</dcterms:created>
  <dcterms:modified xsi:type="dcterms:W3CDTF">2016-03-07T03:08:18Z</dcterms:modified>
</cp:coreProperties>
</file>