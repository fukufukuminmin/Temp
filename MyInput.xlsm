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myCustomUI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60" yWindow="75" windowWidth="16170" windowHeight="9660" firstSheet="2" activeTab="2"/>
  </bookViews>
  <sheets>
    <sheet name="Info" sheetId="3" state="hidden" r:id="rId1"/>
    <sheet name="Params" sheetId="5" state="hidden" r:id="rId2"/>
    <sheet name="Pipe" sheetId="1" r:id="rId3"/>
    <sheet name="Pipe_Sum" sheetId="6" r:id="rId4"/>
    <sheet name="Valve" sheetId="10" r:id="rId5"/>
    <sheet name="Scafold" sheetId="13" r:id="rId6"/>
    <sheet name="Detail_Pipe_org" sheetId="7" state="hidden" r:id="rId7"/>
    <sheet name="バルブ" sheetId="9" state="hidden" r:id="rId8"/>
  </sheets>
  <functionGroups builtInGroupCount="17"/>
  <definedNames>
    <definedName name="_xlnm._FilterDatabase" localSheetId="2" hidden="1">Pipe!$A$4:$CP$4</definedName>
    <definedName name="_xlnm._FilterDatabase" localSheetId="5" hidden="1">Scafold!$A$3:$O$3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um" localSheetId="0" hidden="1">0</definedName>
    <definedName name="solver_num" localSheetId="1" hidden="1">0</definedName>
    <definedName name="solver_num" localSheetId="2" hidden="1">0</definedName>
    <definedName name="solver_opt" localSheetId="0" hidden="1">Info!#REF!</definedName>
    <definedName name="solver_opt" localSheetId="1" hidden="1">Params!#REF!</definedName>
    <definedName name="solver_opt" localSheetId="2" hidden="1">Pipe!$AR$1</definedName>
    <definedName name="solver_typ" localSheetId="0" hidden="1">1</definedName>
    <definedName name="solver_typ" localSheetId="1" hidden="1">1</definedName>
    <definedName name="solver_typ" localSheetId="2" hidden="1">1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出力データ1">Pipe!$BJ$5:$CQ$30</definedName>
    <definedName name="入力データ">Pipe!$A$5:$BI$31</definedName>
  </definedNames>
  <calcPr calcId="145621"/>
</workbook>
</file>

<file path=xl/calcChain.xml><?xml version="1.0" encoding="utf-8"?>
<calcChain xmlns="http://schemas.openxmlformats.org/spreadsheetml/2006/main">
  <c r="F11" i="13" l="1"/>
  <c r="F10" i="13"/>
  <c r="F9" i="13"/>
  <c r="F8" i="13"/>
  <c r="F7" i="13"/>
  <c r="F6" i="13"/>
  <c r="F5" i="13"/>
  <c r="F4" i="13"/>
  <c r="I11" i="13"/>
  <c r="J11" i="13" s="1"/>
  <c r="I10" i="13"/>
  <c r="J10" i="13" s="1"/>
  <c r="I9" i="13"/>
  <c r="J9" i="13" s="1"/>
  <c r="I8" i="13"/>
  <c r="J8" i="13" s="1"/>
  <c r="I7" i="13"/>
  <c r="J7" i="13" s="1"/>
  <c r="H11" i="13"/>
  <c r="H10" i="13"/>
  <c r="H9" i="13"/>
  <c r="H8" i="13"/>
  <c r="H7" i="13"/>
  <c r="H6" i="13"/>
  <c r="H5" i="13"/>
  <c r="H4" i="13"/>
  <c r="G11" i="13"/>
  <c r="G10" i="13"/>
  <c r="G9" i="13"/>
  <c r="G8" i="13"/>
  <c r="G7" i="13"/>
  <c r="G6" i="13"/>
  <c r="I6" i="13" s="1"/>
  <c r="J6" i="13" s="1"/>
  <c r="G5" i="13"/>
  <c r="G4" i="13"/>
  <c r="K6" i="13" l="1"/>
  <c r="L6" i="13" s="1"/>
  <c r="K8" i="13"/>
  <c r="L8" i="13" s="1"/>
  <c r="L10" i="13"/>
  <c r="K10" i="13"/>
  <c r="I5" i="13"/>
  <c r="I4" i="13"/>
  <c r="K11" i="13"/>
  <c r="L11" i="13" s="1"/>
  <c r="K9" i="13"/>
  <c r="L9" i="13" s="1"/>
  <c r="K7" i="13"/>
  <c r="L7" i="13" s="1"/>
  <c r="K4" i="13" l="1"/>
  <c r="J4" i="13"/>
  <c r="L4" i="13"/>
  <c r="J5" i="13"/>
  <c r="I13" i="13"/>
  <c r="J13" i="13" l="1"/>
  <c r="K5" i="13"/>
  <c r="N20" i="9"/>
  <c r="K20" i="9"/>
  <c r="J20" i="9"/>
  <c r="I20" i="9"/>
  <c r="H20" i="9"/>
  <c r="G20" i="9"/>
  <c r="F20" i="9"/>
  <c r="E20" i="9"/>
  <c r="D20" i="9"/>
  <c r="C20" i="9"/>
  <c r="B20" i="9"/>
  <c r="P16" i="9"/>
  <c r="O16" i="9"/>
  <c r="P14" i="9"/>
  <c r="O14" i="9"/>
  <c r="M14" i="9"/>
  <c r="P12" i="9"/>
  <c r="M12" i="9"/>
  <c r="O12" i="9" s="1"/>
  <c r="P10" i="9"/>
  <c r="O10" i="9"/>
  <c r="M10" i="9"/>
  <c r="P8" i="9"/>
  <c r="M8" i="9"/>
  <c r="O8" i="9" s="1"/>
  <c r="P6" i="9"/>
  <c r="P20" i="9" s="1"/>
  <c r="O6" i="9"/>
  <c r="O20" i="9" s="1"/>
  <c r="M6" i="9"/>
  <c r="K13" i="13" l="1"/>
  <c r="L5" i="13"/>
  <c r="L13" i="13" s="1"/>
  <c r="M20" i="9"/>
  <c r="M47" i="7" l="1"/>
  <c r="L47" i="7"/>
  <c r="K47" i="7"/>
  <c r="J47" i="7"/>
  <c r="I47" i="7"/>
  <c r="M46" i="7"/>
  <c r="M48" i="7" s="1"/>
  <c r="L46" i="7"/>
  <c r="L48" i="7" s="1"/>
  <c r="K46" i="7"/>
  <c r="K48" i="7" s="1"/>
  <c r="J46" i="7"/>
  <c r="J48" i="7" s="1"/>
  <c r="I46" i="7"/>
  <c r="I48" i="7" s="1"/>
  <c r="F46" i="7"/>
  <c r="E46" i="7"/>
  <c r="D46" i="7"/>
  <c r="C46" i="7"/>
  <c r="B46" i="7"/>
  <c r="M45" i="7"/>
  <c r="L45" i="7"/>
  <c r="K45" i="7"/>
  <c r="J45" i="7"/>
  <c r="I45" i="7"/>
  <c r="H45" i="7"/>
  <c r="P44" i="7"/>
  <c r="P45" i="7" s="1"/>
  <c r="O44" i="7"/>
  <c r="N44" i="7"/>
  <c r="Q44" i="7" s="1"/>
  <c r="R43" i="7"/>
  <c r="P43" i="7"/>
  <c r="O43" i="7"/>
  <c r="O45" i="7" s="1"/>
  <c r="N43" i="7"/>
  <c r="M42" i="7"/>
  <c r="L42" i="7"/>
  <c r="K42" i="7"/>
  <c r="J42" i="7"/>
  <c r="I42" i="7"/>
  <c r="H42" i="7"/>
  <c r="P41" i="7"/>
  <c r="P42" i="7" s="1"/>
  <c r="O41" i="7"/>
  <c r="N41" i="7"/>
  <c r="Q41" i="7" s="1"/>
  <c r="R40" i="7"/>
  <c r="P40" i="7"/>
  <c r="O40" i="7"/>
  <c r="O42" i="7" s="1"/>
  <c r="N40" i="7"/>
  <c r="M39" i="7"/>
  <c r="L39" i="7"/>
  <c r="K39" i="7"/>
  <c r="J39" i="7"/>
  <c r="I39" i="7"/>
  <c r="H39" i="7"/>
  <c r="P38" i="7"/>
  <c r="P39" i="7" s="1"/>
  <c r="O38" i="7"/>
  <c r="N38" i="7"/>
  <c r="Q38" i="7" s="1"/>
  <c r="R37" i="7"/>
  <c r="P37" i="7"/>
  <c r="O37" i="7"/>
  <c r="O39" i="7" s="1"/>
  <c r="N37" i="7"/>
  <c r="M36" i="7"/>
  <c r="L36" i="7"/>
  <c r="K36" i="7"/>
  <c r="J36" i="7"/>
  <c r="I36" i="7"/>
  <c r="H36" i="7"/>
  <c r="P35" i="7"/>
  <c r="P36" i="7" s="1"/>
  <c r="O35" i="7"/>
  <c r="N35" i="7"/>
  <c r="Q35" i="7" s="1"/>
  <c r="R34" i="7"/>
  <c r="P34" i="7"/>
  <c r="O34" i="7"/>
  <c r="O36" i="7" s="1"/>
  <c r="N34" i="7"/>
  <c r="M33" i="7"/>
  <c r="L33" i="7"/>
  <c r="K33" i="7"/>
  <c r="J33" i="7"/>
  <c r="I33" i="7"/>
  <c r="H33" i="7"/>
  <c r="P32" i="7"/>
  <c r="P33" i="7" s="1"/>
  <c r="O32" i="7"/>
  <c r="N32" i="7"/>
  <c r="Q32" i="7" s="1"/>
  <c r="R31" i="7"/>
  <c r="P31" i="7"/>
  <c r="O31" i="7"/>
  <c r="O33" i="7" s="1"/>
  <c r="N31" i="7"/>
  <c r="M30" i="7"/>
  <c r="L30" i="7"/>
  <c r="K30" i="7"/>
  <c r="J30" i="7"/>
  <c r="I30" i="7"/>
  <c r="H30" i="7"/>
  <c r="P29" i="7"/>
  <c r="P30" i="7" s="1"/>
  <c r="O29" i="7"/>
  <c r="N29" i="7"/>
  <c r="Q29" i="7" s="1"/>
  <c r="R28" i="7"/>
  <c r="P28" i="7"/>
  <c r="O28" i="7"/>
  <c r="O30" i="7" s="1"/>
  <c r="N28" i="7"/>
  <c r="M27" i="7"/>
  <c r="L27" i="7"/>
  <c r="K27" i="7"/>
  <c r="J27" i="7"/>
  <c r="I27" i="7"/>
  <c r="H27" i="7"/>
  <c r="P26" i="7"/>
  <c r="P27" i="7" s="1"/>
  <c r="O26" i="7"/>
  <c r="N26" i="7"/>
  <c r="Q26" i="7" s="1"/>
  <c r="R25" i="7"/>
  <c r="P25" i="7"/>
  <c r="O25" i="7"/>
  <c r="N25" i="7"/>
  <c r="M24" i="7"/>
  <c r="L24" i="7"/>
  <c r="K24" i="7"/>
  <c r="J24" i="7"/>
  <c r="I24" i="7"/>
  <c r="H24" i="7"/>
  <c r="P23" i="7"/>
  <c r="P24" i="7" s="1"/>
  <c r="O23" i="7"/>
  <c r="N23" i="7"/>
  <c r="Q23" i="7" s="1"/>
  <c r="R22" i="7"/>
  <c r="P22" i="7"/>
  <c r="O22" i="7"/>
  <c r="O24" i="7" s="1"/>
  <c r="N22" i="7"/>
  <c r="N21" i="7"/>
  <c r="M21" i="7"/>
  <c r="L21" i="7"/>
  <c r="K21" i="7"/>
  <c r="J21" i="7"/>
  <c r="I21" i="7"/>
  <c r="H21" i="7"/>
  <c r="P20" i="7"/>
  <c r="P21" i="7" s="1"/>
  <c r="O20" i="7"/>
  <c r="N20" i="7"/>
  <c r="Q20" i="7" s="1"/>
  <c r="R19" i="7"/>
  <c r="P19" i="7"/>
  <c r="O19" i="7"/>
  <c r="O21" i="7" s="1"/>
  <c r="N19" i="7"/>
  <c r="M18" i="7"/>
  <c r="L18" i="7"/>
  <c r="K18" i="7"/>
  <c r="J18" i="7"/>
  <c r="I18" i="7"/>
  <c r="H18" i="7"/>
  <c r="P17" i="7"/>
  <c r="P18" i="7" s="1"/>
  <c r="O17" i="7"/>
  <c r="N17" i="7"/>
  <c r="Q17" i="7" s="1"/>
  <c r="R16" i="7"/>
  <c r="P16" i="7"/>
  <c r="O16" i="7"/>
  <c r="O18" i="7" s="1"/>
  <c r="N16" i="7"/>
  <c r="N15" i="7"/>
  <c r="M15" i="7"/>
  <c r="L15" i="7"/>
  <c r="K15" i="7"/>
  <c r="J15" i="7"/>
  <c r="I15" i="7"/>
  <c r="H15" i="7"/>
  <c r="P14" i="7"/>
  <c r="P15" i="7" s="1"/>
  <c r="O14" i="7"/>
  <c r="N14" i="7"/>
  <c r="Q14" i="7" s="1"/>
  <c r="R13" i="7"/>
  <c r="P13" i="7"/>
  <c r="O13" i="7"/>
  <c r="O15" i="7" s="1"/>
  <c r="N13" i="7"/>
  <c r="M12" i="7"/>
  <c r="L12" i="7"/>
  <c r="K12" i="7"/>
  <c r="J12" i="7"/>
  <c r="I12" i="7"/>
  <c r="H12" i="7"/>
  <c r="P11" i="7"/>
  <c r="P12" i="7" s="1"/>
  <c r="O11" i="7"/>
  <c r="N11" i="7"/>
  <c r="Q11" i="7" s="1"/>
  <c r="R10" i="7"/>
  <c r="P10" i="7"/>
  <c r="O10" i="7"/>
  <c r="O12" i="7" s="1"/>
  <c r="N10" i="7"/>
  <c r="N9" i="7"/>
  <c r="M9" i="7"/>
  <c r="L9" i="7"/>
  <c r="K9" i="7"/>
  <c r="J9" i="7"/>
  <c r="I9" i="7"/>
  <c r="H9" i="7"/>
  <c r="P8" i="7"/>
  <c r="O8" i="7"/>
  <c r="O47" i="7" s="1"/>
  <c r="N8" i="7"/>
  <c r="R7" i="7"/>
  <c r="P7" i="7"/>
  <c r="P46" i="7" s="1"/>
  <c r="O7" i="7"/>
  <c r="N7" i="7"/>
  <c r="N46" i="7" s="1"/>
  <c r="Q10" i="7" l="1"/>
  <c r="Q15" i="7"/>
  <c r="R15" i="7" s="1"/>
  <c r="Q16" i="7"/>
  <c r="Q21" i="7"/>
  <c r="R21" i="7" s="1"/>
  <c r="Q22" i="7"/>
  <c r="O9" i="7"/>
  <c r="Q9" i="7" s="1"/>
  <c r="R9" i="7" s="1"/>
  <c r="R48" i="7" s="1"/>
  <c r="O46" i="7"/>
  <c r="O48" i="7" s="1"/>
  <c r="Q7" i="7"/>
  <c r="Q8" i="7"/>
  <c r="Q47" i="7" s="1"/>
  <c r="N47" i="7"/>
  <c r="N48" i="7" s="1"/>
  <c r="P47" i="7"/>
  <c r="P48" i="7" s="1"/>
  <c r="P9" i="7"/>
  <c r="N12" i="7"/>
  <c r="Q12" i="7" s="1"/>
  <c r="R12" i="7" s="1"/>
  <c r="Q13" i="7"/>
  <c r="N18" i="7"/>
  <c r="Q18" i="7" s="1"/>
  <c r="R18" i="7" s="1"/>
  <c r="Q19" i="7"/>
  <c r="N24" i="7"/>
  <c r="Q24" i="7" s="1"/>
  <c r="R24" i="7" s="1"/>
  <c r="O27" i="7"/>
  <c r="Q25" i="7"/>
  <c r="N27" i="7"/>
  <c r="Q27" i="7" s="1"/>
  <c r="R27" i="7" s="1"/>
  <c r="Q28" i="7"/>
  <c r="N30" i="7"/>
  <c r="Q30" i="7" s="1"/>
  <c r="R30" i="7" s="1"/>
  <c r="Q31" i="7"/>
  <c r="N33" i="7"/>
  <c r="Q33" i="7" s="1"/>
  <c r="R33" i="7" s="1"/>
  <c r="Q34" i="7"/>
  <c r="N36" i="7"/>
  <c r="Q36" i="7" s="1"/>
  <c r="R36" i="7" s="1"/>
  <c r="Q37" i="7"/>
  <c r="N39" i="7"/>
  <c r="Q39" i="7" s="1"/>
  <c r="R39" i="7" s="1"/>
  <c r="Q40" i="7"/>
  <c r="N42" i="7"/>
  <c r="Q42" i="7" s="1"/>
  <c r="R42" i="7" s="1"/>
  <c r="Q43" i="7"/>
  <c r="N45" i="7"/>
  <c r="Q45" i="7" s="1"/>
  <c r="R45" i="7" s="1"/>
  <c r="Q46" i="7" l="1"/>
  <c r="Q48" i="7" s="1"/>
</calcChain>
</file>

<file path=xl/sharedStrings.xml><?xml version="1.0" encoding="utf-8"?>
<sst xmlns="http://schemas.openxmlformats.org/spreadsheetml/2006/main" count="733" uniqueCount="376">
  <si>
    <t>A</t>
    <phoneticPr fontId="1"/>
  </si>
  <si>
    <t>管長</t>
    <rPh sb="0" eb="1">
      <t>カン</t>
    </rPh>
    <rPh sb="1" eb="2">
      <t>チョウ</t>
    </rPh>
    <phoneticPr fontId="1"/>
  </si>
  <si>
    <t>m</t>
    <phoneticPr fontId="1"/>
  </si>
  <si>
    <t>pc</t>
    <phoneticPr fontId="1"/>
  </si>
  <si>
    <t>材質</t>
    <rPh sb="0" eb="2">
      <t>ザイシツ</t>
    </rPh>
    <phoneticPr fontId="1"/>
  </si>
  <si>
    <t>管</t>
    <rPh sb="0" eb="1">
      <t>カン</t>
    </rPh>
    <phoneticPr fontId="1"/>
  </si>
  <si>
    <t>溶接</t>
    <rPh sb="0" eb="2">
      <t>ヨウセツ</t>
    </rPh>
    <phoneticPr fontId="1"/>
  </si>
  <si>
    <t>pc</t>
    <phoneticPr fontId="1"/>
  </si>
  <si>
    <t>pc</t>
    <phoneticPr fontId="1"/>
  </si>
  <si>
    <t>pc</t>
    <phoneticPr fontId="1"/>
  </si>
  <si>
    <t>高所</t>
    <rPh sb="0" eb="2">
      <t>コウショ</t>
    </rPh>
    <phoneticPr fontId="1"/>
  </si>
  <si>
    <t>m</t>
    <phoneticPr fontId="1"/>
  </si>
  <si>
    <t>ﾌｨｯﾃｨﾝｸﾞ数量</t>
    <rPh sb="8" eb="10">
      <t>スウリョウ</t>
    </rPh>
    <phoneticPr fontId="1"/>
  </si>
  <si>
    <t>塗装</t>
    <rPh sb="0" eb="2">
      <t>トソウ</t>
    </rPh>
    <phoneticPr fontId="1"/>
  </si>
  <si>
    <t>温度</t>
    <rPh sb="0" eb="2">
      <t>オンド</t>
    </rPh>
    <phoneticPr fontId="1"/>
  </si>
  <si>
    <t>℃</t>
    <phoneticPr fontId="1"/>
  </si>
  <si>
    <t>mm</t>
    <phoneticPr fontId="1"/>
  </si>
  <si>
    <t>pc</t>
    <phoneticPr fontId="1"/>
  </si>
  <si>
    <t>回</t>
    <rPh sb="0" eb="1">
      <t>カイ</t>
    </rPh>
    <phoneticPr fontId="1"/>
  </si>
  <si>
    <t>フ</t>
    <phoneticPr fontId="1"/>
  </si>
  <si>
    <t>計</t>
    <rPh sb="0" eb="1">
      <t>ケイ</t>
    </rPh>
    <phoneticPr fontId="1"/>
  </si>
  <si>
    <t>塗</t>
    <rPh sb="0" eb="1">
      <t>ヌリ</t>
    </rPh>
    <phoneticPr fontId="1"/>
  </si>
  <si>
    <t>ｴﾘｱ
区分</t>
    <rPh sb="4" eb="6">
      <t>クブン</t>
    </rPh>
    <phoneticPr fontId="1"/>
  </si>
  <si>
    <t>複雑
度</t>
    <rPh sb="0" eb="2">
      <t>フクザツ</t>
    </rPh>
    <rPh sb="3" eb="4">
      <t>ド</t>
    </rPh>
    <phoneticPr fontId="1"/>
  </si>
  <si>
    <t>配管
径</t>
    <rPh sb="0" eb="2">
      <t>ハイカン</t>
    </rPh>
    <rPh sb="3" eb="4">
      <t>ケイ</t>
    </rPh>
    <phoneticPr fontId="1"/>
  </si>
  <si>
    <t>下
回数</t>
    <rPh sb="0" eb="1">
      <t>シタ</t>
    </rPh>
    <rPh sb="2" eb="4">
      <t>カイスウ</t>
    </rPh>
    <phoneticPr fontId="1"/>
  </si>
  <si>
    <t>上
回数</t>
    <rPh sb="0" eb="1">
      <t>ウエ</t>
    </rPh>
    <rPh sb="2" eb="4">
      <t>カイスウ</t>
    </rPh>
    <phoneticPr fontId="1"/>
  </si>
  <si>
    <t>上
塗料</t>
    <rPh sb="0" eb="1">
      <t>ウエ</t>
    </rPh>
    <rPh sb="2" eb="4">
      <t>トリョウ</t>
    </rPh>
    <phoneticPr fontId="1"/>
  </si>
  <si>
    <t>下
塗料</t>
    <rPh sb="0" eb="1">
      <t>シタ</t>
    </rPh>
    <rPh sb="2" eb="4">
      <t>トリョウ</t>
    </rPh>
    <phoneticPr fontId="1"/>
  </si>
  <si>
    <t>ｹﾚﾝ
種</t>
    <rPh sb="4" eb="5">
      <t>タネ</t>
    </rPh>
    <phoneticPr fontId="1"/>
  </si>
  <si>
    <t>圧力
ｸﾗｽ</t>
    <rPh sb="0" eb="2">
      <t>アツリョク</t>
    </rPh>
    <phoneticPr fontId="1"/>
  </si>
  <si>
    <t>配管
厚み</t>
    <rPh sb="0" eb="2">
      <t>ハイカン</t>
    </rPh>
    <rPh sb="3" eb="4">
      <t>アツ</t>
    </rPh>
    <phoneticPr fontId="1"/>
  </si>
  <si>
    <t>ﾗｲﾝ
番号</t>
    <rPh sb="4" eb="6">
      <t>バンゴウ</t>
    </rPh>
    <phoneticPr fontId="1"/>
  </si>
  <si>
    <t>ﾗｲﾝ識別</t>
    <rPh sb="3" eb="5">
      <t>シキベツ</t>
    </rPh>
    <phoneticPr fontId="1"/>
  </si>
  <si>
    <t>識</t>
    <rPh sb="0" eb="1">
      <t>シキ</t>
    </rPh>
    <phoneticPr fontId="1"/>
  </si>
  <si>
    <t>火禁</t>
    <rPh sb="0" eb="1">
      <t>ヒ</t>
    </rPh>
    <rPh sb="1" eb="2">
      <t>キン</t>
    </rPh>
    <phoneticPr fontId="1"/>
  </si>
  <si>
    <t>Sch等</t>
    <rPh sb="3" eb="4">
      <t>トウ</t>
    </rPh>
    <phoneticPr fontId="1"/>
  </si>
  <si>
    <t>J10等</t>
    <rPh sb="3" eb="4">
      <t>トウ</t>
    </rPh>
    <phoneticPr fontId="1"/>
  </si>
  <si>
    <t>材</t>
    <rPh sb="0" eb="1">
      <t>ザイ</t>
    </rPh>
    <phoneticPr fontId="1"/>
  </si>
  <si>
    <t>長</t>
    <rPh sb="0" eb="1">
      <t>ナガ</t>
    </rPh>
    <phoneticPr fontId="1"/>
  </si>
  <si>
    <t>仕</t>
    <rPh sb="0" eb="1">
      <t>ツコウ</t>
    </rPh>
    <phoneticPr fontId="1"/>
  </si>
  <si>
    <t>備</t>
    <rPh sb="0" eb="1">
      <t>ソナエ</t>
    </rPh>
    <phoneticPr fontId="1"/>
  </si>
  <si>
    <t>備考1</t>
    <rPh sb="0" eb="2">
      <t>ビコウ</t>
    </rPh>
    <phoneticPr fontId="1"/>
  </si>
  <si>
    <t>備考2</t>
    <rPh sb="0" eb="2">
      <t>ビコウ</t>
    </rPh>
    <phoneticPr fontId="1"/>
  </si>
  <si>
    <t>備考3</t>
    <rPh sb="0" eb="2">
      <t>ビコウ</t>
    </rPh>
    <phoneticPr fontId="1"/>
  </si>
  <si>
    <t>備考4</t>
    <rPh sb="0" eb="2">
      <t>ビコウ</t>
    </rPh>
    <phoneticPr fontId="1"/>
  </si>
  <si>
    <t>備考5</t>
    <rPh sb="0" eb="2">
      <t>ビコウ</t>
    </rPh>
    <phoneticPr fontId="1"/>
  </si>
  <si>
    <t>備考</t>
    <rPh sb="0" eb="2">
      <t>ビコウ</t>
    </rPh>
    <phoneticPr fontId="1"/>
  </si>
  <si>
    <t>仕様</t>
    <rPh sb="0" eb="2">
      <t>シヨウ</t>
    </rPh>
    <phoneticPr fontId="1"/>
  </si>
  <si>
    <t>計装品数量</t>
    <rPh sb="0" eb="2">
      <t>ケイソウ</t>
    </rPh>
    <rPh sb="2" eb="3">
      <t>ヒン</t>
    </rPh>
    <rPh sb="3" eb="5">
      <t>スウリョウ</t>
    </rPh>
    <phoneticPr fontId="1"/>
  </si>
  <si>
    <t>誤</t>
    <rPh sb="0" eb="1">
      <t>アヤマ</t>
    </rPh>
    <phoneticPr fontId="1"/>
  </si>
  <si>
    <t>#</t>
    <phoneticPr fontId="1"/>
  </si>
  <si>
    <t>配管
ｸﾗｽ</t>
    <rPh sb="0" eb="2">
      <t>ハイカン</t>
    </rPh>
    <phoneticPr fontId="1"/>
  </si>
  <si>
    <t>平面図</t>
    <rPh sb="0" eb="2">
      <t>ヘイメン</t>
    </rPh>
    <rPh sb="2" eb="3">
      <t>ズ</t>
    </rPh>
    <phoneticPr fontId="1"/>
  </si>
  <si>
    <t>ｱｲｿﾒ図</t>
    <rPh sb="4" eb="5">
      <t>ズ</t>
    </rPh>
    <phoneticPr fontId="1"/>
  </si>
  <si>
    <t>P&amp;ID</t>
    <phoneticPr fontId="1"/>
  </si>
  <si>
    <t>pc</t>
    <phoneticPr fontId="1"/>
  </si>
  <si>
    <t>DIA</t>
    <phoneticPr fontId="1"/>
  </si>
  <si>
    <t>CHK</t>
    <phoneticPr fontId="1"/>
  </si>
  <si>
    <t>断熱</t>
    <rPh sb="0" eb="2">
      <t>ダンネツ</t>
    </rPh>
    <phoneticPr fontId="1"/>
  </si>
  <si>
    <t>熱</t>
    <rPh sb="0" eb="1">
      <t>ネツ</t>
    </rPh>
    <phoneticPr fontId="1"/>
  </si>
  <si>
    <t>担当</t>
    <rPh sb="0" eb="2">
      <t>タントウ</t>
    </rPh>
    <phoneticPr fontId="2"/>
  </si>
  <si>
    <t>日付</t>
    <rPh sb="0" eb="2">
      <t>ヒヅケ</t>
    </rPh>
    <phoneticPr fontId="2"/>
  </si>
  <si>
    <t>JOB NO.</t>
    <phoneticPr fontId="2"/>
  </si>
  <si>
    <t>JOB件名</t>
    <rPh sb="3" eb="5">
      <t>ケンメイ</t>
    </rPh>
    <phoneticPr fontId="2"/>
  </si>
  <si>
    <t>ﾌﾟﾗﾝﾄ</t>
    <phoneticPr fontId="2"/>
  </si>
  <si>
    <t>備考</t>
    <rPh sb="0" eb="2">
      <t>ビコウ</t>
    </rPh>
    <phoneticPr fontId="2"/>
  </si>
  <si>
    <t>積算情報</t>
    <rPh sb="0" eb="2">
      <t>セキサン</t>
    </rPh>
    <rPh sb="2" eb="4">
      <t>ジョウホウ</t>
    </rPh>
    <phoneticPr fontId="2"/>
  </si>
  <si>
    <t>ｼｽﾃﾑ情報</t>
    <rPh sb="4" eb="6">
      <t>ジョウホウ</t>
    </rPh>
    <phoneticPr fontId="2"/>
  </si>
  <si>
    <t>DBﾊﾟｽ</t>
    <phoneticPr fontId="2"/>
  </si>
  <si>
    <t>積算共通情報</t>
    <rPh sb="0" eb="2">
      <t>セキサン</t>
    </rPh>
    <rPh sb="2" eb="4">
      <t>キョウツウ</t>
    </rPh>
    <rPh sb="4" eb="6">
      <t>ジョウホウ</t>
    </rPh>
    <phoneticPr fontId="2"/>
  </si>
  <si>
    <t>配管溶接工賃</t>
    <rPh sb="0" eb="2">
      <t>ハイカン</t>
    </rPh>
    <rPh sb="2" eb="4">
      <t>ヨウセツ</t>
    </rPh>
    <rPh sb="4" eb="6">
      <t>コウチン</t>
    </rPh>
    <phoneticPr fontId="2"/>
  </si>
  <si>
    <t>[k\/方]</t>
    <rPh sb="4" eb="5">
      <t>カタ</t>
    </rPh>
    <phoneticPr fontId="2"/>
  </si>
  <si>
    <t>配管組立工賃</t>
    <rPh sb="0" eb="2">
      <t>ハイカン</t>
    </rPh>
    <rPh sb="2" eb="4">
      <t>クミタテ</t>
    </rPh>
    <rPh sb="4" eb="6">
      <t>コウチン</t>
    </rPh>
    <phoneticPr fontId="2"/>
  </si>
  <si>
    <t>監督工賃</t>
    <rPh sb="0" eb="2">
      <t>カントク</t>
    </rPh>
    <rPh sb="2" eb="4">
      <t>コウチン</t>
    </rPh>
    <phoneticPr fontId="2"/>
  </si>
  <si>
    <t>Helpﾊﾟｽ</t>
    <phoneticPr fontId="2"/>
  </si>
  <si>
    <t>単位</t>
    <rPh sb="0" eb="2">
      <t>タンイ</t>
    </rPh>
    <phoneticPr fontId="2"/>
  </si>
  <si>
    <t>D:\Work\Z_DontErase\Database\_MEst\_New\MyHelp.chm</t>
    <phoneticPr fontId="2"/>
  </si>
  <si>
    <t>ﾌﾗ
ﾝｼﾞ</t>
    <phoneticPr fontId="1"/>
  </si>
  <si>
    <t>一般
弁</t>
    <rPh sb="0" eb="2">
      <t>イッパン</t>
    </rPh>
    <rPh sb="3" eb="4">
      <t>ベン</t>
    </rPh>
    <phoneticPr fontId="1"/>
  </si>
  <si>
    <t>#</t>
    <phoneticPr fontId="1"/>
  </si>
  <si>
    <t>ﾀﾞｲﾔ
弁</t>
    <rPh sb="5" eb="6">
      <t>ベン</t>
    </rPh>
    <phoneticPr fontId="1"/>
  </si>
  <si>
    <t>#</t>
    <phoneticPr fontId="1"/>
  </si>
  <si>
    <t>断熱
材</t>
    <rPh sb="0" eb="2">
      <t>ダンネツ</t>
    </rPh>
    <rPh sb="3" eb="4">
      <t>ザイ</t>
    </rPh>
    <phoneticPr fontId="1"/>
  </si>
  <si>
    <t>用途</t>
    <rPh sb="0" eb="2">
      <t>ヨウト</t>
    </rPh>
    <phoneticPr fontId="1"/>
  </si>
  <si>
    <t>注</t>
    <rPh sb="0" eb="1">
      <t>チュウ</t>
    </rPh>
    <phoneticPr fontId="1"/>
  </si>
  <si>
    <t>a,t,x</t>
    <phoneticPr fontId="1"/>
  </si>
  <si>
    <t>ｴﾙﾎﾞ係数</t>
    <phoneticPr fontId="2"/>
  </si>
  <si>
    <t>ﾌﾗﾝｼﾞ係数</t>
  </si>
  <si>
    <t>h,c</t>
    <phoneticPr fontId="1"/>
  </si>
  <si>
    <t>計装
弁</t>
    <phoneticPr fontId="1"/>
  </si>
  <si>
    <t>流量
計</t>
    <phoneticPr fontId="1"/>
  </si>
  <si>
    <t>他</t>
    <rPh sb="0" eb="1">
      <t>タ</t>
    </rPh>
    <phoneticPr fontId="1"/>
  </si>
  <si>
    <t>#</t>
    <phoneticPr fontId="1"/>
  </si>
  <si>
    <t>1～3</t>
    <phoneticPr fontId="1"/>
  </si>
  <si>
    <t>GAT</t>
    <phoneticPr fontId="1"/>
  </si>
  <si>
    <t>GLB</t>
    <phoneticPr fontId="1"/>
  </si>
  <si>
    <t>BAL</t>
    <phoneticPr fontId="1"/>
  </si>
  <si>
    <t>BAT</t>
    <phoneticPr fontId="1"/>
  </si>
  <si>
    <t>PLG</t>
    <phoneticPr fontId="1"/>
  </si>
  <si>
    <t>工程</t>
    <rPh sb="0" eb="2">
      <t>コウテイ</t>
    </rPh>
    <phoneticPr fontId="2"/>
  </si>
  <si>
    <t>課・係</t>
    <rPh sb="0" eb="1">
      <t>カ</t>
    </rPh>
    <rPh sb="2" eb="3">
      <t>カカリ</t>
    </rPh>
    <phoneticPr fontId="2"/>
  </si>
  <si>
    <t>見積番号</t>
    <rPh sb="0" eb="2">
      <t>ミツモリ</t>
    </rPh>
    <rPh sb="2" eb="4">
      <t>バンゴウ</t>
    </rPh>
    <phoneticPr fontId="2"/>
  </si>
  <si>
    <t>改訂番号</t>
    <rPh sb="0" eb="2">
      <t>カイテイ</t>
    </rPh>
    <rPh sb="2" eb="4">
      <t>バンゴウ</t>
    </rPh>
    <phoneticPr fontId="2"/>
  </si>
  <si>
    <t>配管工事費(Shop&amp;Field) 純工事工数・工事費明細</t>
    <rPh sb="0" eb="2">
      <t>ハイカン</t>
    </rPh>
    <rPh sb="2" eb="5">
      <t>コウジヒ</t>
    </rPh>
    <rPh sb="18" eb="19">
      <t>ジュン</t>
    </rPh>
    <rPh sb="19" eb="21">
      <t>コウジ</t>
    </rPh>
    <rPh sb="21" eb="23">
      <t>コウスウ</t>
    </rPh>
    <rPh sb="24" eb="26">
      <t>コウジ</t>
    </rPh>
    <rPh sb="26" eb="27">
      <t>ヒ</t>
    </rPh>
    <rPh sb="27" eb="29">
      <t>メイサイ</t>
    </rPh>
    <phoneticPr fontId="10"/>
  </si>
  <si>
    <t>工賃 \/方</t>
    <rPh sb="0" eb="2">
      <t>コウチン</t>
    </rPh>
    <rPh sb="5" eb="6">
      <t>カタ</t>
    </rPh>
    <phoneticPr fontId="9"/>
  </si>
  <si>
    <t>配管工</t>
    <rPh sb="0" eb="2">
      <t>ハイカン</t>
    </rPh>
    <rPh sb="2" eb="3">
      <t>コウ</t>
    </rPh>
    <phoneticPr fontId="10"/>
  </si>
  <si>
    <t>溶接工</t>
    <rPh sb="0" eb="2">
      <t>ヨウセツ</t>
    </rPh>
    <rPh sb="2" eb="3">
      <t>コウ</t>
    </rPh>
    <phoneticPr fontId="10"/>
  </si>
  <si>
    <t>材質</t>
    <rPh sb="0" eb="2">
      <t>ザイシツ</t>
    </rPh>
    <phoneticPr fontId="10"/>
  </si>
  <si>
    <t>仕様</t>
  </si>
  <si>
    <t>工数</t>
    <rPh sb="0" eb="2">
      <t>コウスウ</t>
    </rPh>
    <phoneticPr fontId="9"/>
  </si>
  <si>
    <t>工賃</t>
    <rPh sb="0" eb="2">
      <t>コウチン</t>
    </rPh>
    <phoneticPr fontId="9"/>
  </si>
  <si>
    <t>Sch. No.</t>
  </si>
  <si>
    <t>延長さ</t>
    <rPh sb="0" eb="1">
      <t>ノ</t>
    </rPh>
    <rPh sb="1" eb="2">
      <t>ナガ</t>
    </rPh>
    <phoneticPr fontId="10"/>
  </si>
  <si>
    <t>平均径</t>
    <rPh sb="0" eb="2">
      <t>ヘイキン</t>
    </rPh>
    <rPh sb="2" eb="3">
      <t>ケイ</t>
    </rPh>
    <phoneticPr fontId="10"/>
  </si>
  <si>
    <t>ﾊﾟｲﾌﾟ重量</t>
    <rPh sb="5" eb="7">
      <t>ジュウリョウ</t>
    </rPh>
    <phoneticPr fontId="10"/>
  </si>
  <si>
    <t>場所</t>
  </si>
  <si>
    <t>配管</t>
    <rPh sb="0" eb="2">
      <t>ハイカン</t>
    </rPh>
    <phoneticPr fontId="10"/>
  </si>
  <si>
    <t>溶接</t>
    <rPh sb="0" eb="2">
      <t>ヨウセツ</t>
    </rPh>
    <phoneticPr fontId="9"/>
  </si>
  <si>
    <t>その他</t>
    <rPh sb="2" eb="3">
      <t>タ</t>
    </rPh>
    <phoneticPr fontId="10"/>
  </si>
  <si>
    <t>小計</t>
    <rPh sb="0" eb="1">
      <t>ショウ</t>
    </rPh>
    <rPh sb="1" eb="2">
      <t>ケイ</t>
    </rPh>
    <phoneticPr fontId="10"/>
  </si>
  <si>
    <t>配管</t>
    <rPh sb="0" eb="2">
      <t>ハイカン</t>
    </rPh>
    <phoneticPr fontId="9"/>
  </si>
  <si>
    <t>溶接</t>
    <rPh sb="0" eb="2">
      <t>ヨウセツ</t>
    </rPh>
    <phoneticPr fontId="10"/>
  </si>
  <si>
    <t>計</t>
    <rPh sb="0" eb="1">
      <t>ケイ</t>
    </rPh>
    <phoneticPr fontId="9"/>
  </si>
  <si>
    <t>工数・金額</t>
    <rPh sb="0" eb="2">
      <t>コウスウ</t>
    </rPh>
    <rPh sb="3" eb="5">
      <t>キンガク</t>
    </rPh>
    <phoneticPr fontId="10"/>
  </si>
  <si>
    <t>φ</t>
  </si>
  <si>
    <t>kg</t>
  </si>
  <si>
    <t>α%</t>
  </si>
  <si>
    <t>P</t>
  </si>
  <si>
    <t>W</t>
  </si>
  <si>
    <t>STPG410S</t>
  </si>
  <si>
    <t>Shop</t>
  </si>
  <si>
    <t>Field</t>
  </si>
  <si>
    <t>計</t>
    <rPh sb="0" eb="1">
      <t>ケイ</t>
    </rPh>
    <phoneticPr fontId="10"/>
  </si>
  <si>
    <t>STPG410E</t>
  </si>
  <si>
    <t>SUS304TPE</t>
  </si>
  <si>
    <t>20S</t>
  </si>
  <si>
    <t>SUS304TPS</t>
  </si>
  <si>
    <t>SUS316TPE</t>
  </si>
  <si>
    <t>10S</t>
  </si>
  <si>
    <t>SUS321TPE</t>
  </si>
  <si>
    <t>SUS316LTPE</t>
  </si>
  <si>
    <t>SUS317TPS</t>
  </si>
  <si>
    <t>SUS317LTPS</t>
  </si>
  <si>
    <t>SUS347TPE</t>
  </si>
  <si>
    <t>SUS329JTPS</t>
  </si>
  <si>
    <t>合計</t>
    <rPh sb="0" eb="2">
      <t>ゴウケイ</t>
    </rPh>
    <phoneticPr fontId="10"/>
  </si>
  <si>
    <t>∑L: (m)</t>
    <phoneticPr fontId="9"/>
  </si>
  <si>
    <t>BM</t>
    <phoneticPr fontId="9"/>
  </si>
  <si>
    <t>DB</t>
    <phoneticPr fontId="9"/>
  </si>
  <si>
    <t>P</t>
    <phoneticPr fontId="9"/>
  </si>
  <si>
    <t>W</t>
    <phoneticPr fontId="9"/>
  </si>
  <si>
    <t>O</t>
    <phoneticPr fontId="9"/>
  </si>
  <si>
    <t>P+W+O</t>
    <phoneticPr fontId="9"/>
  </si>
  <si>
    <t>Shop</t>
    <phoneticPr fontId="9"/>
  </si>
  <si>
    <t>Field</t>
    <phoneticPr fontId="9"/>
  </si>
  <si>
    <t>工事</t>
    <phoneticPr fontId="10"/>
  </si>
  <si>
    <t>ｲﾝﾁﾒｰﾀ</t>
    <phoneticPr fontId="9"/>
  </si>
  <si>
    <t>ﾀﾞｲﾔｲﾝﾁ</t>
    <phoneticPr fontId="9"/>
  </si>
  <si>
    <t>ﾌﾟﾚﾌｧﾌﾞ率</t>
    <phoneticPr fontId="9"/>
  </si>
  <si>
    <t>pc</t>
    <phoneticPr fontId="1"/>
  </si>
  <si>
    <t>計器</t>
    <rPh sb="0" eb="2">
      <t>ケイキ</t>
    </rPh>
    <phoneticPr fontId="1"/>
  </si>
  <si>
    <t>ﾌﾗﾝｼﾞ</t>
    <phoneticPr fontId="1"/>
  </si>
  <si>
    <t>ｴﾙﾎﾞ</t>
    <phoneticPr fontId="1"/>
  </si>
  <si>
    <t>ﾃｨｰ</t>
    <phoneticPr fontId="1"/>
  </si>
  <si>
    <t>ﾚﾃﾞｭ
ｰｻ</t>
    <phoneticPr fontId="1"/>
  </si>
  <si>
    <t>ｸﾛｽ</t>
    <phoneticPr fontId="1"/>
  </si>
  <si>
    <t>弁等数量</t>
    <rPh sb="0" eb="1">
      <t>ベン</t>
    </rPh>
    <rPh sb="1" eb="2">
      <t>トウ</t>
    </rPh>
    <rPh sb="2" eb="4">
      <t>スウリョウ</t>
    </rPh>
    <phoneticPr fontId="1"/>
  </si>
  <si>
    <t>弁</t>
    <rPh sb="0" eb="1">
      <t>ベン</t>
    </rPh>
    <phoneticPr fontId="1"/>
  </si>
  <si>
    <t>[pc/m]</t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</si>
  <si>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</si>
  <si>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</si>
  <si>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</si>
  <si>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</si>
  <si>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</si>
  <si>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[pc/m]</t>
    <phoneticPr fontId="2"/>
  </si>
  <si>
    <t>[pc/m]</t>
    <phoneticPr fontId="2"/>
  </si>
  <si>
    <t>断熱
厚さ</t>
    <rPh sb="0" eb="2">
      <t>ダンネツ</t>
    </rPh>
    <rPh sb="3" eb="4">
      <t>アツ</t>
    </rPh>
    <phoneticPr fontId="1"/>
  </si>
  <si>
    <t>テスト見積1</t>
    <phoneticPr fontId="2"/>
  </si>
  <si>
    <t>pc</t>
    <phoneticPr fontId="9"/>
  </si>
  <si>
    <t>テスト改訂1</t>
    <phoneticPr fontId="2"/>
  </si>
  <si>
    <t>テスト担当者1</t>
    <phoneticPr fontId="2"/>
  </si>
  <si>
    <t>7Z00001A</t>
    <phoneticPr fontId="2"/>
  </si>
  <si>
    <t>テストJOB</t>
    <phoneticPr fontId="2"/>
  </si>
  <si>
    <t>テスト課テスト係</t>
    <phoneticPr fontId="2"/>
  </si>
  <si>
    <t>テストPLANT</t>
    <phoneticPr fontId="2"/>
  </si>
  <si>
    <t>テスト工程</t>
    <phoneticPr fontId="2"/>
  </si>
  <si>
    <t>適当なメモ等をここに...</t>
    <phoneticPr fontId="2"/>
  </si>
  <si>
    <t>手動値</t>
    <rPh sb="0" eb="2">
      <t>シュドウ</t>
    </rPh>
    <rPh sb="2" eb="3">
      <t>チ</t>
    </rPh>
    <phoneticPr fontId="2"/>
  </si>
  <si>
    <t>DB値</t>
    <rPh sb="2" eb="3">
      <t>チ</t>
    </rPh>
    <phoneticPr fontId="2"/>
  </si>
  <si>
    <t>m</t>
    <phoneticPr fontId="9"/>
  </si>
  <si>
    <t>配管工事　バルブ取付、組立、他</t>
    <rPh sb="0" eb="2">
      <t>ハイカン</t>
    </rPh>
    <rPh sb="2" eb="4">
      <t>コウジ</t>
    </rPh>
    <rPh sb="8" eb="10">
      <t>トリツケ</t>
    </rPh>
    <rPh sb="11" eb="13">
      <t>クミタテ</t>
    </rPh>
    <rPh sb="14" eb="15">
      <t>ホカ</t>
    </rPh>
    <phoneticPr fontId="9"/>
  </si>
  <si>
    <t>雑工事名</t>
    <rPh sb="0" eb="1">
      <t>ザツ</t>
    </rPh>
    <rPh sb="1" eb="3">
      <t>コウジ</t>
    </rPh>
    <rPh sb="3" eb="4">
      <t>メイ</t>
    </rPh>
    <phoneticPr fontId="10"/>
  </si>
  <si>
    <t xml:space="preserve"> Shop工数</t>
    <phoneticPr fontId="9"/>
  </si>
  <si>
    <t>Field工数</t>
    <phoneticPr fontId="9"/>
  </si>
  <si>
    <t>合計</t>
    <rPh sb="0" eb="1">
      <t>ゴウ</t>
    </rPh>
    <rPh sb="1" eb="2">
      <t>ケイ</t>
    </rPh>
    <phoneticPr fontId="10"/>
  </si>
  <si>
    <t>数量</t>
    <rPh sb="0" eb="1">
      <t>カズ</t>
    </rPh>
    <rPh sb="1" eb="2">
      <t>リョウ</t>
    </rPh>
    <phoneticPr fontId="10"/>
  </si>
  <si>
    <t>重量</t>
    <rPh sb="0" eb="2">
      <t>ジュウリョウ</t>
    </rPh>
    <phoneticPr fontId="10"/>
  </si>
  <si>
    <t>ﾀﾞｲﾔｲﾝﾁ</t>
    <phoneticPr fontId="9"/>
  </si>
  <si>
    <t>金額</t>
    <rPh sb="0" eb="2">
      <t>キンガク</t>
    </rPh>
    <phoneticPr fontId="10"/>
  </si>
  <si>
    <t>工数</t>
    <rPh sb="0" eb="2">
      <t>コウスウ</t>
    </rPh>
    <phoneticPr fontId="10"/>
  </si>
  <si>
    <t>DB</t>
    <phoneticPr fontId="9"/>
  </si>
  <si>
    <t>O</t>
    <phoneticPr fontId="9"/>
  </si>
  <si>
    <t>P+W+O</t>
    <phoneticPr fontId="9"/>
  </si>
  <si>
    <t>k\</t>
    <phoneticPr fontId="10"/>
  </si>
  <si>
    <t>k\</t>
    <phoneticPr fontId="10"/>
  </si>
  <si>
    <t>方</t>
    <rPh sb="0" eb="1">
      <t>カタ</t>
    </rPh>
    <phoneticPr fontId="10"/>
  </si>
  <si>
    <t>\</t>
    <phoneticPr fontId="10"/>
  </si>
  <si>
    <t>ﾊﾞﾙﾌﾞ取付</t>
    <rPh sb="5" eb="7">
      <t>トリツケ</t>
    </rPh>
    <phoneticPr fontId="10"/>
  </si>
  <si>
    <t>ﾎﾞﾙﾄ締付</t>
    <rPh sb="4" eb="5">
      <t>シ</t>
    </rPh>
    <rPh sb="5" eb="6">
      <t>ツ</t>
    </rPh>
    <phoneticPr fontId="10"/>
  </si>
  <si>
    <t>ﾊﾟｲﾌﾟ部品横持</t>
    <rPh sb="5" eb="7">
      <t>ブヒン</t>
    </rPh>
    <rPh sb="7" eb="8">
      <t>ヨコ</t>
    </rPh>
    <rPh sb="8" eb="9">
      <t>モ</t>
    </rPh>
    <phoneticPr fontId="10"/>
  </si>
  <si>
    <t>計装品取付,外し</t>
    <rPh sb="0" eb="1">
      <t>ケイ</t>
    </rPh>
    <rPh sb="1" eb="2">
      <t>ソウ</t>
    </rPh>
    <rPh sb="2" eb="3">
      <t>シナ</t>
    </rPh>
    <rPh sb="3" eb="5">
      <t>トリツケ</t>
    </rPh>
    <rPh sb="6" eb="7">
      <t>ハズ</t>
    </rPh>
    <phoneticPr fontId="10"/>
  </si>
  <si>
    <t>ﾄﾚｽ配管</t>
    <rPh sb="3" eb="5">
      <t>ハイカン</t>
    </rPh>
    <phoneticPr fontId="10"/>
  </si>
  <si>
    <t>ﾍｯﾀﾞ枝管製作</t>
    <rPh sb="4" eb="5">
      <t>エダ</t>
    </rPh>
    <rPh sb="5" eb="6">
      <t>カン</t>
    </rPh>
    <rPh sb="6" eb="7">
      <t>セイ</t>
    </rPh>
    <rPh sb="7" eb="8">
      <t>サク</t>
    </rPh>
    <phoneticPr fontId="10"/>
  </si>
  <si>
    <t>ﾊﾟｲﾌﾟ曲,その他</t>
    <rPh sb="5" eb="6">
      <t>マ</t>
    </rPh>
    <rPh sb="9" eb="10">
      <t>タ</t>
    </rPh>
    <phoneticPr fontId="10"/>
  </si>
  <si>
    <t>　　小　　計</t>
    <rPh sb="2" eb="3">
      <t>ショウ</t>
    </rPh>
    <rPh sb="5" eb="6">
      <t>ケイ</t>
    </rPh>
    <phoneticPr fontId="10"/>
  </si>
  <si>
    <t>配管
重量</t>
    <rPh sb="0" eb="2">
      <t>ハイカン</t>
    </rPh>
    <rPh sb="3" eb="5">
      <t>ジュウリョウ</t>
    </rPh>
    <phoneticPr fontId="9"/>
  </si>
  <si>
    <t>kg</t>
    <phoneticPr fontId="9"/>
  </si>
  <si>
    <t>配管
長</t>
    <rPh sb="0" eb="2">
      <t>ハイカン</t>
    </rPh>
    <rPh sb="3" eb="4">
      <t>チョウ</t>
    </rPh>
    <phoneticPr fontId="9"/>
  </si>
  <si>
    <t>m</t>
    <phoneticPr fontId="9"/>
  </si>
  <si>
    <t>ｲﾝﾁ
ﾒｰﾀ</t>
    <phoneticPr fontId="9"/>
  </si>
  <si>
    <t>ﾀﾞｲﾔ
ｲﾝﾁ</t>
    <phoneticPr fontId="9"/>
  </si>
  <si>
    <t>DB</t>
    <phoneticPr fontId="9"/>
  </si>
  <si>
    <t>工数</t>
    <rPh sb="0" eb="2">
      <t>コウスウ</t>
    </rPh>
    <phoneticPr fontId="9"/>
  </si>
  <si>
    <t>配管
組立</t>
    <rPh sb="0" eb="2">
      <t>ハイカン</t>
    </rPh>
    <rPh sb="3" eb="5">
      <t>クミタテ</t>
    </rPh>
    <phoneticPr fontId="9"/>
  </si>
  <si>
    <t>MH</t>
    <phoneticPr fontId="9"/>
  </si>
  <si>
    <t>ﾌﾗﾝｼﾞ
締結</t>
    <rPh sb="6" eb="8">
      <t>テイケツ</t>
    </rPh>
    <phoneticPr fontId="9"/>
  </si>
  <si>
    <t>数量</t>
    <rPh sb="0" eb="2">
      <t>スウリョウ</t>
    </rPh>
    <phoneticPr fontId="9"/>
  </si>
  <si>
    <t>材料費</t>
    <rPh sb="0" eb="3">
      <t>ザイリョウヒ</t>
    </rPh>
    <phoneticPr fontId="9"/>
  </si>
  <si>
    <t>配管</t>
    <rPh sb="0" eb="2">
      <t>ハイカン</t>
    </rPh>
    <phoneticPr fontId="9"/>
  </si>
  <si>
    <t>ﾌﾗﾝｼﾞ</t>
    <phoneticPr fontId="9"/>
  </si>
  <si>
    <t>k\</t>
    <phoneticPr fontId="9"/>
  </si>
  <si>
    <t>pc</t>
    <phoneticPr fontId="9"/>
  </si>
  <si>
    <t>ｴﾙﾎﾞ</t>
    <phoneticPr fontId="9"/>
  </si>
  <si>
    <t>pc</t>
    <phoneticPr fontId="9"/>
  </si>
  <si>
    <t>pc</t>
    <phoneticPr fontId="1"/>
  </si>
  <si>
    <t>pc</t>
    <phoneticPr fontId="1"/>
  </si>
  <si>
    <t>材質</t>
    <rPh sb="0" eb="2">
      <t>ザイシツ</t>
    </rPh>
    <phoneticPr fontId="1"/>
  </si>
  <si>
    <t>配管</t>
    <rPh sb="0" eb="2">
      <t>ハイカン</t>
    </rPh>
    <phoneticPr fontId="1"/>
  </si>
  <si>
    <t>一般
弁</t>
    <rPh sb="0" eb="2">
      <t>イッパン</t>
    </rPh>
    <rPh sb="3" eb="4">
      <t>ベン</t>
    </rPh>
    <phoneticPr fontId="1"/>
  </si>
  <si>
    <t>ﾌﾗﾝｼﾞ</t>
    <phoneticPr fontId="1"/>
  </si>
  <si>
    <t>配管
径</t>
    <rPh sb="0" eb="2">
      <t>ハイカン</t>
    </rPh>
    <rPh sb="3" eb="4">
      <t>ケイ</t>
    </rPh>
    <phoneticPr fontId="1"/>
  </si>
  <si>
    <t>A</t>
    <phoneticPr fontId="1"/>
  </si>
  <si>
    <t>ﾀﾞｲﾔ
弁</t>
    <rPh sb="5" eb="6">
      <t>ベン</t>
    </rPh>
    <phoneticPr fontId="1"/>
  </si>
  <si>
    <t>計装
弁</t>
    <rPh sb="0" eb="2">
      <t>ケイソウ</t>
    </rPh>
    <rPh sb="3" eb="4">
      <t>ベン</t>
    </rPh>
    <phoneticPr fontId="1"/>
  </si>
  <si>
    <t>計装
品,他</t>
    <rPh sb="0" eb="2">
      <t>ケイソウ</t>
    </rPh>
    <rPh sb="3" eb="4">
      <t>ヒン</t>
    </rPh>
    <rPh sb="5" eb="6">
      <t>ホカ</t>
    </rPh>
    <phoneticPr fontId="1"/>
  </si>
  <si>
    <t>ﾗｲﾝ情報</t>
    <rPh sb="3" eb="5">
      <t>ジョウホウ</t>
    </rPh>
    <phoneticPr fontId="1"/>
  </si>
  <si>
    <t>溶接</t>
    <rPh sb="0" eb="2">
      <t>ヨウセツ</t>
    </rPh>
    <phoneticPr fontId="1"/>
  </si>
  <si>
    <t>ﾌﾗﾝｼﾞ</t>
    <phoneticPr fontId="9"/>
  </si>
  <si>
    <t>MD</t>
    <phoneticPr fontId="9"/>
  </si>
  <si>
    <t>断熱関係</t>
    <rPh sb="0" eb="2">
      <t>ダンネツ</t>
    </rPh>
    <rPh sb="2" eb="4">
      <t>カンケイ</t>
    </rPh>
    <phoneticPr fontId="9"/>
  </si>
  <si>
    <t>k\</t>
    <phoneticPr fontId="9"/>
  </si>
  <si>
    <t>他ﾌｨｯﾃｨｸﾞ</t>
    <rPh sb="0" eb="1">
      <t>ホカ</t>
    </rPh>
    <phoneticPr fontId="9"/>
  </si>
  <si>
    <t>塗装関係</t>
    <rPh sb="0" eb="2">
      <t>トソウ</t>
    </rPh>
    <rPh sb="2" eb="4">
      <t>カンケイ</t>
    </rPh>
    <phoneticPr fontId="9"/>
  </si>
  <si>
    <t>弁</t>
    <rPh sb="0" eb="1">
      <t>ベン</t>
    </rPh>
    <phoneticPr fontId="1"/>
  </si>
  <si>
    <t>弁類
取付</t>
    <rPh sb="0" eb="1">
      <t>ベン</t>
    </rPh>
    <rPh sb="1" eb="2">
      <t>ルイ</t>
    </rPh>
    <rPh sb="3" eb="5">
      <t>トリツケ</t>
    </rPh>
    <phoneticPr fontId="9"/>
  </si>
  <si>
    <t>MH</t>
    <phoneticPr fontId="9"/>
  </si>
  <si>
    <t>工数
計</t>
    <rPh sb="0" eb="2">
      <t>コウスウ</t>
    </rPh>
    <rPh sb="3" eb="4">
      <t>ケイ</t>
    </rPh>
    <phoneticPr fontId="9"/>
  </si>
  <si>
    <t>BM</t>
    <phoneticPr fontId="9"/>
  </si>
  <si>
    <t>a</t>
  </si>
  <si>
    <t>a1a</t>
  </si>
  <si>
    <t>b1b</t>
  </si>
  <si>
    <t>a1c</t>
  </si>
  <si>
    <t>a1b</t>
  </si>
  <si>
    <t>t</t>
  </si>
  <si>
    <t>f3b</t>
  </si>
  <si>
    <t>f3a</t>
  </si>
  <si>
    <t>b1a</t>
  </si>
  <si>
    <t>ﾗｲﾝ別</t>
    <rPh sb="3" eb="4">
      <t>ベツ</t>
    </rPh>
    <phoneticPr fontId="2"/>
  </si>
  <si>
    <t>配管材質別</t>
    <rPh sb="0" eb="2">
      <t>ハイカン</t>
    </rPh>
    <rPh sb="2" eb="4">
      <t>ザイシツ</t>
    </rPh>
    <rPh sb="4" eb="5">
      <t>ベツ</t>
    </rPh>
    <phoneticPr fontId="2"/>
  </si>
  <si>
    <t>弁類集計</t>
    <rPh sb="0" eb="1">
      <t>ベン</t>
    </rPh>
    <rPh sb="1" eb="2">
      <t>ルイ</t>
    </rPh>
    <rPh sb="2" eb="4">
      <t>シュウケイ</t>
    </rPh>
    <phoneticPr fontId="2"/>
  </si>
  <si>
    <t>出力設定</t>
    <rPh sb="0" eb="2">
      <t>シュツリョク</t>
    </rPh>
    <rPh sb="2" eb="4">
      <t>セッテイ</t>
    </rPh>
    <phoneticPr fontId="2"/>
  </si>
  <si>
    <t>MH</t>
    <phoneticPr fontId="9"/>
  </si>
  <si>
    <t>配管材質</t>
    <rPh sb="0" eb="2">
      <t>ハイカン</t>
    </rPh>
    <rPh sb="2" eb="4">
      <t>ザイシツ</t>
    </rPh>
    <phoneticPr fontId="10"/>
  </si>
  <si>
    <t>弁類</t>
    <rPh sb="0" eb="1">
      <t>ベン</t>
    </rPh>
    <rPh sb="1" eb="2">
      <t>ルイ</t>
    </rPh>
    <phoneticPr fontId="9"/>
  </si>
  <si>
    <t>延長</t>
    <rPh sb="0" eb="1">
      <t>ノ</t>
    </rPh>
    <rPh sb="1" eb="2">
      <t>チョウ</t>
    </rPh>
    <phoneticPr fontId="10"/>
  </si>
  <si>
    <t>配管
重量</t>
    <rPh sb="0" eb="2">
      <t>ハイカン</t>
    </rPh>
    <rPh sb="3" eb="5">
      <t>ジュウリョウ</t>
    </rPh>
    <phoneticPr fontId="10"/>
  </si>
  <si>
    <t>ｲﾝﾁ
ﾒｰﾀ</t>
    <phoneticPr fontId="9"/>
  </si>
  <si>
    <t>ﾀﾞｲﾔ
ｲﾝﾁ</t>
    <phoneticPr fontId="9"/>
  </si>
  <si>
    <t>弁数</t>
    <rPh sb="0" eb="1">
      <t>ベン</t>
    </rPh>
    <rPh sb="1" eb="2">
      <t>スウ</t>
    </rPh>
    <phoneticPr fontId="9"/>
  </si>
  <si>
    <t>計装弁
,他数</t>
    <rPh sb="0" eb="2">
      <t>ケイソウ</t>
    </rPh>
    <rPh sb="2" eb="3">
      <t>ベン</t>
    </rPh>
    <rPh sb="5" eb="6">
      <t>ホカ</t>
    </rPh>
    <rPh sb="6" eb="7">
      <t>スウ</t>
    </rPh>
    <phoneticPr fontId="9"/>
  </si>
  <si>
    <t>材料費</t>
    <rPh sb="0" eb="3">
      <t>ザイリョウヒ</t>
    </rPh>
    <phoneticPr fontId="9"/>
  </si>
  <si>
    <t>配管</t>
    <rPh sb="0" eb="2">
      <t>ハイカン</t>
    </rPh>
    <phoneticPr fontId="9"/>
  </si>
  <si>
    <t>ﾌｨｯ
ﾃｨﾝｸﾞ</t>
    <phoneticPr fontId="9"/>
  </si>
  <si>
    <t>弁</t>
    <rPh sb="0" eb="1">
      <t>ベン</t>
    </rPh>
    <phoneticPr fontId="9"/>
  </si>
  <si>
    <t>P</t>
    <phoneticPr fontId="9"/>
  </si>
  <si>
    <t>F</t>
    <phoneticPr fontId="9"/>
  </si>
  <si>
    <t>V</t>
    <phoneticPr fontId="9"/>
  </si>
  <si>
    <t>計</t>
    <rPh sb="0" eb="1">
      <t>ケイ</t>
    </rPh>
    <phoneticPr fontId="9"/>
  </si>
  <si>
    <t>工数</t>
    <rPh sb="0" eb="2">
      <t>コウスウ</t>
    </rPh>
    <phoneticPr fontId="9"/>
  </si>
  <si>
    <t>工賃</t>
    <rPh sb="0" eb="2">
      <t>コウチン</t>
    </rPh>
    <phoneticPr fontId="9"/>
  </si>
  <si>
    <t>単価</t>
    <rPh sb="0" eb="2">
      <t>タンカ</t>
    </rPh>
    <phoneticPr fontId="9"/>
  </si>
  <si>
    <t>配管工事費 配管材料別明細</t>
    <rPh sb="0" eb="2">
      <t>ハイカン</t>
    </rPh>
    <rPh sb="2" eb="5">
      <t>コウジヒ</t>
    </rPh>
    <rPh sb="6" eb="8">
      <t>ハイカン</t>
    </rPh>
    <rPh sb="8" eb="10">
      <t>ザイリョウ</t>
    </rPh>
    <rPh sb="10" eb="11">
      <t>ベツ</t>
    </rPh>
    <rPh sb="11" eb="13">
      <t>メイサイ</t>
    </rPh>
    <phoneticPr fontId="10"/>
  </si>
  <si>
    <t>k\</t>
    <phoneticPr fontId="9"/>
  </si>
  <si>
    <t>c</t>
  </si>
  <si>
    <t>o</t>
  </si>
  <si>
    <t>e</t>
  </si>
  <si>
    <t>工数[MD]</t>
    <rPh sb="0" eb="2">
      <t>コウスウ</t>
    </rPh>
    <phoneticPr fontId="9"/>
  </si>
  <si>
    <t>工賃[k\]</t>
    <rPh sb="0" eb="2">
      <t>コウチン</t>
    </rPh>
    <phoneticPr fontId="9"/>
  </si>
  <si>
    <t>弁類
取付</t>
    <rPh sb="0" eb="1">
      <t>ベン</t>
    </rPh>
    <rPh sb="1" eb="2">
      <t>ルイ</t>
    </rPh>
    <rPh sb="3" eb="5">
      <t>トリツケ</t>
    </rPh>
    <phoneticPr fontId="10"/>
  </si>
  <si>
    <t>P+W+V</t>
    <phoneticPr fontId="9"/>
  </si>
  <si>
    <t>V</t>
    <phoneticPr fontId="9"/>
  </si>
  <si>
    <t>P+F+V</t>
    <phoneticPr fontId="9"/>
  </si>
  <si>
    <t>配管
ﾌﾗﾝｼﾞ</t>
    <rPh sb="0" eb="2">
      <t>ハイカン</t>
    </rPh>
    <phoneticPr fontId="9"/>
  </si>
  <si>
    <t>配管
ﾌﾗﾝｼﾞ</t>
    <rPh sb="0" eb="2">
      <t>ハイカン</t>
    </rPh>
    <phoneticPr fontId="10"/>
  </si>
  <si>
    <t>#</t>
    <phoneticPr fontId="9"/>
  </si>
  <si>
    <t>#</t>
    <phoneticPr fontId="1"/>
  </si>
  <si>
    <t>種類</t>
  </si>
  <si>
    <t>材質</t>
  </si>
  <si>
    <t>ｻｲｽﾞ</t>
  </si>
  <si>
    <t>数量</t>
  </si>
  <si>
    <t>単価</t>
  </si>
  <si>
    <t>小計</t>
  </si>
  <si>
    <t>A</t>
  </si>
  <si>
    <t>pc</t>
  </si>
  <si>
    <t>k\/pc</t>
  </si>
  <si>
    <t>k\</t>
  </si>
  <si>
    <t>ｹﾞｰﾄ弁</t>
  </si>
  <si>
    <t>ｸﾞﾛｰﾌﾞ弁</t>
  </si>
  <si>
    <t>ﾎﾞｰﾙ弁</t>
  </si>
  <si>
    <t>逆止弁</t>
  </si>
  <si>
    <t>場所</t>
    <rPh sb="0" eb="2">
      <t>バショ</t>
    </rPh>
    <phoneticPr fontId="9"/>
  </si>
  <si>
    <t>縦</t>
    <rPh sb="0" eb="1">
      <t>タテ</t>
    </rPh>
    <phoneticPr fontId="9"/>
  </si>
  <si>
    <t>m</t>
    <phoneticPr fontId="9"/>
  </si>
  <si>
    <t>横</t>
    <rPh sb="0" eb="1">
      <t>ヨコ</t>
    </rPh>
    <phoneticPr fontId="9"/>
  </si>
  <si>
    <t>高</t>
    <rPh sb="0" eb="1">
      <t>タカ</t>
    </rPh>
    <phoneticPr fontId="9"/>
  </si>
  <si>
    <t>MD</t>
    <phoneticPr fontId="9"/>
  </si>
  <si>
    <t>ﾘｰｽ代</t>
    <rPh sb="3" eb="4">
      <t>ダイ</t>
    </rPh>
    <phoneticPr fontId="9"/>
  </si>
  <si>
    <t>k\</t>
    <phoneticPr fontId="9"/>
  </si>
  <si>
    <t>k\</t>
    <phoneticPr fontId="9"/>
  </si>
  <si>
    <t>B</t>
    <phoneticPr fontId="9"/>
  </si>
  <si>
    <t>B</t>
    <phoneticPr fontId="9"/>
  </si>
  <si>
    <t>場所1</t>
    <rPh sb="0" eb="2">
      <t>バショ</t>
    </rPh>
    <phoneticPr fontId="9"/>
  </si>
  <si>
    <t>場所2</t>
    <rPh sb="0" eb="2">
      <t>バショ</t>
    </rPh>
    <phoneticPr fontId="9"/>
  </si>
  <si>
    <t>#</t>
    <phoneticPr fontId="9"/>
  </si>
  <si>
    <t>#</t>
    <phoneticPr fontId="9"/>
  </si>
  <si>
    <t>#</t>
    <phoneticPr fontId="9"/>
  </si>
  <si>
    <t>#</t>
    <phoneticPr fontId="9"/>
  </si>
  <si>
    <t>#</t>
    <phoneticPr fontId="9"/>
  </si>
  <si>
    <t>#</t>
    <phoneticPr fontId="9"/>
  </si>
  <si>
    <t>#</t>
    <phoneticPr fontId="9"/>
  </si>
  <si>
    <t>場所3</t>
    <rPh sb="0" eb="2">
      <t>バショ</t>
    </rPh>
    <phoneticPr fontId="9"/>
  </si>
  <si>
    <t>場所4</t>
    <rPh sb="0" eb="2">
      <t>バショ</t>
    </rPh>
    <phoneticPr fontId="9"/>
  </si>
  <si>
    <t>場所5</t>
    <rPh sb="0" eb="2">
      <t>バショ</t>
    </rPh>
    <phoneticPr fontId="9"/>
  </si>
  <si>
    <t>場所6</t>
    <rPh sb="0" eb="2">
      <t>バショ</t>
    </rPh>
    <phoneticPr fontId="9"/>
  </si>
  <si>
    <t>H</t>
    <phoneticPr fontId="9"/>
  </si>
  <si>
    <t>#</t>
    <phoneticPr fontId="9"/>
  </si>
  <si>
    <t>MD/m3</t>
    <phoneticPr fontId="9"/>
  </si>
  <si>
    <t>体積</t>
    <rPh sb="0" eb="2">
      <t>タイセキ</t>
    </rPh>
    <phoneticPr fontId="9"/>
  </si>
  <si>
    <t>m3</t>
    <phoneticPr fontId="9"/>
  </si>
  <si>
    <t>場所7</t>
    <rPh sb="0" eb="2">
      <t>バショ</t>
    </rPh>
    <phoneticPr fontId="9"/>
  </si>
  <si>
    <t>場所8</t>
    <rPh sb="0" eb="2">
      <t>バショ</t>
    </rPh>
    <phoneticPr fontId="9"/>
  </si>
  <si>
    <t>H</t>
    <phoneticPr fontId="9"/>
  </si>
  <si>
    <t>-/m</t>
    <phoneticPr fontId="9"/>
  </si>
  <si>
    <t>足場
種類</t>
    <rPh sb="0" eb="2">
      <t>アシバ</t>
    </rPh>
    <rPh sb="3" eb="5">
      <t>シュルイ</t>
    </rPh>
    <phoneticPr fontId="9"/>
  </si>
  <si>
    <t>工数
歩掛</t>
    <rPh sb="0" eb="2">
      <t>コウスウ</t>
    </rPh>
    <rPh sb="3" eb="5">
      <t>ブガカリ</t>
    </rPh>
    <phoneticPr fontId="9"/>
  </si>
  <si>
    <t>高さ
係数</t>
    <rPh sb="0" eb="1">
      <t>タカ</t>
    </rPh>
    <rPh sb="3" eb="5">
      <t>ケイスウ</t>
    </rPh>
    <phoneticPr fontId="9"/>
  </si>
  <si>
    <t>副資材
消耗品</t>
    <rPh sb="0" eb="3">
      <t>フクシザイ</t>
    </rPh>
    <rPh sb="4" eb="6">
      <t>ショウモウ</t>
    </rPh>
    <rPh sb="6" eb="7">
      <t>ヒン</t>
    </rPh>
    <phoneticPr fontId="9"/>
  </si>
  <si>
    <t>P</t>
    <phoneticPr fontId="9"/>
  </si>
  <si>
    <t>e</t>
    <phoneticPr fontId="9"/>
  </si>
  <si>
    <t>q2a</t>
    <phoneticPr fontId="9"/>
  </si>
  <si>
    <t>D:\Work\Z_DontErase\Database\_MEst\_New\MyData.xlsm</t>
    <phoneticPr fontId="2"/>
  </si>
  <si>
    <t>q2a</t>
  </si>
  <si>
    <t>厚さ</t>
    <rPh sb="0" eb="1">
      <t>アツ</t>
    </rPh>
    <phoneticPr fontId="9"/>
  </si>
  <si>
    <t>mm</t>
    <phoneticPr fontId="9"/>
  </si>
  <si>
    <t>h</t>
    <phoneticPr fontId="9"/>
  </si>
  <si>
    <t>rw</t>
    <phoneticPr fontId="9"/>
  </si>
  <si>
    <t>h</t>
    <phoneticPr fontId="9"/>
  </si>
  <si>
    <t>gw</t>
    <phoneticPr fontId="9"/>
  </si>
  <si>
    <t>c</t>
    <phoneticPr fontId="9"/>
  </si>
  <si>
    <t>uf</t>
    <phoneticPr fontId="9"/>
  </si>
  <si>
    <t>a</t>
    <phoneticPr fontId="9"/>
  </si>
  <si>
    <t>rw</t>
    <phoneticPr fontId="9"/>
  </si>
  <si>
    <t>相当
長</t>
    <rPh sb="0" eb="2">
      <t>ソウトウ</t>
    </rPh>
    <rPh sb="3" eb="4">
      <t>チョウ</t>
    </rPh>
    <phoneticPr fontId="9"/>
  </si>
  <si>
    <t>m</t>
    <phoneticPr fontId="9"/>
  </si>
  <si>
    <t>b1a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</si>
</sst>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 * #,##0_ ;_ * \-#,##0_ ;_ * &quot;-&quot;_ ;_ @_ "/>
    <numFmt numFmtId="176" formatCode="yyyy&quot;年&quot;mm&quot;月&quot;dd&quot;日&quot;"/>
    <numFmt numFmtId="177" formatCode="0_);[Red]\(0\)"/>
    <numFmt numFmtId="178" formatCode="0.0_);[Red]\(0.0\)"/>
    <numFmt numFmtId="179" formatCode="#,##0_ "/>
    <numFmt numFmtId="180" formatCode="0.0"/>
    <numFmt numFmtId="181" formatCode="#,##0.0;[Red]\-#,##0.0"/>
    <numFmt numFmtId="182" formatCode="[&lt;=999]000;[&lt;=9999]000\-00;000\-0000"/>
  </numFmts>
  <fonts count="14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theme="1"/>
      <name val="ＭＳ 明朝"/>
      <family val="1"/>
      <charset val="128"/>
    </font>
    <font>
      <sz val="12"/>
      <color theme="1"/>
      <name val="ＭＳ 明朝"/>
      <family val="1"/>
      <charset val="128"/>
    </font>
    <font>
      <sz val="8"/>
      <color theme="1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MS PGothic"/>
      <family val="3"/>
    </font>
    <font>
      <sz val="8"/>
      <name val="ＭＳ 明朝"/>
      <family val="1"/>
      <charset val="128"/>
    </font>
    <font>
      <sz val="6"/>
      <name val="ＭＳ Ｐゴシック"/>
      <family val="3"/>
      <charset val="128"/>
      <scheme val="minor"/>
    </font>
    <font>
      <sz val="6"/>
      <name val="MS PGothic"/>
      <family val="3"/>
    </font>
    <font>
      <sz val="8"/>
      <color rgb="FF000080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0"/>
      <color theme="1"/>
      <name val="ＭＳ 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FFCC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38" fontId="6" fillId="0" borderId="0" applyFont="0" applyFill="0" applyBorder="0" applyAlignment="0" applyProtection="0">
      <alignment vertical="center"/>
    </xf>
    <xf numFmtId="0" fontId="7" fillId="0" borderId="0">
      <alignment vertical="center"/>
    </xf>
  </cellStyleXfs>
  <cellXfs count="182">
    <xf numFmtId="0" fontId="0" fillId="0" borderId="0" xfId="0"/>
    <xf numFmtId="0" fontId="3" fillId="0" borderId="0" xfId="0" applyFont="1" applyAlignment="1">
      <alignment vertical="center"/>
    </xf>
    <xf numFmtId="0" fontId="3" fillId="4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4" fillId="0" borderId="8" xfId="0" applyFont="1" applyBorder="1" applyAlignment="1">
      <alignment vertical="center"/>
    </xf>
    <xf numFmtId="0" fontId="4" fillId="3" borderId="8" xfId="0" applyFont="1" applyFill="1" applyBorder="1" applyAlignment="1">
      <alignment vertical="center"/>
    </xf>
    <xf numFmtId="0" fontId="4" fillId="0" borderId="8" xfId="0" applyFont="1" applyBorder="1" applyAlignment="1">
      <alignment horizontal="left" vertical="center"/>
    </xf>
    <xf numFmtId="176" fontId="4" fillId="0" borderId="8" xfId="0" applyNumberFormat="1" applyFont="1" applyBorder="1" applyAlignment="1">
      <alignment horizontal="left" vertical="center"/>
    </xf>
    <xf numFmtId="0" fontId="4" fillId="0" borderId="8" xfId="0" applyFont="1" applyBorder="1" applyAlignment="1">
      <alignment horizontal="left" vertical="top"/>
    </xf>
    <xf numFmtId="0" fontId="5" fillId="4" borderId="8" xfId="0" applyFont="1" applyFill="1" applyBorder="1" applyAlignment="1">
      <alignment vertical="center"/>
    </xf>
    <xf numFmtId="0" fontId="5" fillId="3" borderId="8" xfId="0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5" fillId="2" borderId="8" xfId="0" applyFont="1" applyFill="1" applyBorder="1" applyAlignment="1">
      <alignment vertical="center"/>
    </xf>
    <xf numFmtId="2" fontId="5" fillId="0" borderId="8" xfId="0" applyNumberFormat="1" applyFont="1" applyBorder="1" applyAlignment="1">
      <alignment vertical="center"/>
    </xf>
    <xf numFmtId="0" fontId="5" fillId="0" borderId="8" xfId="0" applyFont="1" applyFill="1" applyBorder="1" applyAlignment="1">
      <alignment vertical="center"/>
    </xf>
    <xf numFmtId="0" fontId="8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8" fillId="3" borderId="8" xfId="2" applyFont="1" applyFill="1" applyBorder="1" applyAlignment="1">
      <alignment horizontal="center" vertical="center"/>
    </xf>
    <xf numFmtId="0" fontId="8" fillId="0" borderId="13" xfId="2" applyFont="1" applyBorder="1" applyAlignment="1">
      <alignment horizontal="center" vertical="center"/>
    </xf>
    <xf numFmtId="0" fontId="8" fillId="0" borderId="14" xfId="2" applyFont="1" applyBorder="1" applyAlignment="1">
      <alignment horizontal="center" vertical="center"/>
    </xf>
    <xf numFmtId="0" fontId="8" fillId="0" borderId="0" xfId="2" applyFont="1" applyAlignment="1">
      <alignment horizontal="left" vertical="center"/>
    </xf>
    <xf numFmtId="0" fontId="8" fillId="0" borderId="15" xfId="2" applyFont="1" applyBorder="1" applyAlignment="1">
      <alignment horizontal="center" vertical="center"/>
    </xf>
    <xf numFmtId="3" fontId="8" fillId="0" borderId="16" xfId="2" applyNumberFormat="1" applyFont="1" applyBorder="1" applyAlignment="1">
      <alignment horizontal="center" vertical="center"/>
    </xf>
    <xf numFmtId="3" fontId="8" fillId="0" borderId="17" xfId="2" applyNumberFormat="1" applyFont="1" applyBorder="1" applyAlignment="1">
      <alignment horizontal="center" vertical="center"/>
    </xf>
    <xf numFmtId="0" fontId="8" fillId="0" borderId="0" xfId="2" applyFont="1" applyBorder="1" applyAlignment="1">
      <alignment vertical="center"/>
    </xf>
    <xf numFmtId="0" fontId="8" fillId="0" borderId="0" xfId="2" applyFont="1" applyBorder="1" applyAlignment="1">
      <alignment horizontal="center" vertical="center"/>
    </xf>
    <xf numFmtId="0" fontId="8" fillId="0" borderId="0" xfId="2" applyFont="1" applyBorder="1" applyAlignment="1">
      <alignment horizontal="left" vertical="center"/>
    </xf>
    <xf numFmtId="0" fontId="8" fillId="0" borderId="18" xfId="2" applyFont="1" applyBorder="1" applyAlignment="1">
      <alignment horizontal="center" vertical="center"/>
    </xf>
    <xf numFmtId="3" fontId="8" fillId="0" borderId="19" xfId="2" applyNumberFormat="1" applyFont="1" applyBorder="1" applyAlignment="1">
      <alignment horizontal="center" vertical="center"/>
    </xf>
    <xf numFmtId="3" fontId="8" fillId="0" borderId="20" xfId="2" applyNumberFormat="1" applyFont="1" applyBorder="1" applyAlignment="1">
      <alignment horizontal="center" vertical="center"/>
    </xf>
    <xf numFmtId="0" fontId="8" fillId="3" borderId="22" xfId="2" applyFont="1" applyFill="1" applyBorder="1" applyAlignment="1">
      <alignment horizontal="centerContinuous" vertical="center"/>
    </xf>
    <xf numFmtId="0" fontId="8" fillId="3" borderId="23" xfId="2" applyFont="1" applyFill="1" applyBorder="1" applyAlignment="1">
      <alignment horizontal="centerContinuous" vertical="center"/>
    </xf>
    <xf numFmtId="0" fontId="8" fillId="3" borderId="24" xfId="2" applyFont="1" applyFill="1" applyBorder="1" applyAlignment="1">
      <alignment horizontal="centerContinuous" vertical="center"/>
    </xf>
    <xf numFmtId="0" fontId="8" fillId="3" borderId="22" xfId="2" applyFont="1" applyFill="1" applyBorder="1" applyAlignment="1">
      <alignment horizontal="center" vertical="center"/>
    </xf>
    <xf numFmtId="0" fontId="8" fillId="3" borderId="24" xfId="2" applyFont="1" applyFill="1" applyBorder="1" applyAlignment="1">
      <alignment horizontal="center" vertical="center"/>
    </xf>
    <xf numFmtId="0" fontId="8" fillId="3" borderId="21" xfId="2" applyFont="1" applyFill="1" applyBorder="1" applyAlignment="1">
      <alignment vertical="center"/>
    </xf>
    <xf numFmtId="0" fontId="8" fillId="3" borderId="26" xfId="2" applyFont="1" applyFill="1" applyBorder="1" applyAlignment="1">
      <alignment horizontal="center" vertical="center"/>
    </xf>
    <xf numFmtId="0" fontId="8" fillId="3" borderId="28" xfId="2" applyFont="1" applyFill="1" applyBorder="1" applyAlignment="1">
      <alignment horizontal="center" vertical="center"/>
    </xf>
    <xf numFmtId="0" fontId="8" fillId="3" borderId="29" xfId="2" applyFont="1" applyFill="1" applyBorder="1" applyAlignment="1">
      <alignment horizontal="center" vertical="center"/>
    </xf>
    <xf numFmtId="0" fontId="8" fillId="0" borderId="21" xfId="2" applyFont="1" applyBorder="1" applyAlignment="1">
      <alignment horizontal="center" vertical="center"/>
    </xf>
    <xf numFmtId="38" fontId="8" fillId="0" borderId="15" xfId="1" applyFont="1" applyBorder="1" applyAlignment="1">
      <alignment vertical="center"/>
    </xf>
    <xf numFmtId="0" fontId="8" fillId="0" borderId="25" xfId="2" applyFont="1" applyBorder="1" applyAlignment="1">
      <alignment horizontal="center" vertical="center"/>
    </xf>
    <xf numFmtId="0" fontId="8" fillId="0" borderId="30" xfId="2" applyFont="1" applyBorder="1" applyAlignment="1">
      <alignment horizontal="center" vertical="center"/>
    </xf>
    <xf numFmtId="38" fontId="8" fillId="0" borderId="30" xfId="1" applyFont="1" applyBorder="1" applyAlignment="1">
      <alignment vertical="center"/>
    </xf>
    <xf numFmtId="38" fontId="8" fillId="0" borderId="31" xfId="1" applyFont="1" applyBorder="1" applyAlignment="1">
      <alignment vertical="center"/>
    </xf>
    <xf numFmtId="0" fontId="8" fillId="0" borderId="27" xfId="2" applyFont="1" applyBorder="1" applyAlignment="1">
      <alignment horizontal="center" vertical="center"/>
    </xf>
    <xf numFmtId="38" fontId="8" fillId="0" borderId="18" xfId="1" applyFont="1" applyBorder="1" applyAlignment="1">
      <alignment vertical="center"/>
    </xf>
    <xf numFmtId="0" fontId="8" fillId="3" borderId="15" xfId="2" applyFont="1" applyFill="1" applyBorder="1" applyAlignment="1">
      <alignment horizontal="center" vertical="center"/>
    </xf>
    <xf numFmtId="38" fontId="8" fillId="3" borderId="15" xfId="1" applyFont="1" applyFill="1" applyBorder="1" applyAlignment="1">
      <alignment vertical="center"/>
    </xf>
    <xf numFmtId="0" fontId="8" fillId="3" borderId="30" xfId="2" applyFont="1" applyFill="1" applyBorder="1" applyAlignment="1">
      <alignment horizontal="center" vertical="center"/>
    </xf>
    <xf numFmtId="38" fontId="8" fillId="3" borderId="30" xfId="1" applyFont="1" applyFill="1" applyBorder="1" applyAlignment="1">
      <alignment vertical="center"/>
    </xf>
    <xf numFmtId="38" fontId="8" fillId="3" borderId="31" xfId="1" applyFont="1" applyFill="1" applyBorder="1" applyAlignment="1">
      <alignment vertical="center"/>
    </xf>
    <xf numFmtId="0" fontId="8" fillId="3" borderId="18" xfId="2" applyFont="1" applyFill="1" applyBorder="1" applyAlignment="1">
      <alignment horizontal="center" vertical="center"/>
    </xf>
    <xf numFmtId="38" fontId="8" fillId="3" borderId="18" xfId="1" applyFont="1" applyFill="1" applyBorder="1" applyAlignment="1">
      <alignment vertical="center"/>
    </xf>
    <xf numFmtId="38" fontId="8" fillId="0" borderId="21" xfId="1" applyFont="1" applyBorder="1" applyAlignment="1">
      <alignment vertical="center"/>
    </xf>
    <xf numFmtId="0" fontId="8" fillId="3" borderId="21" xfId="2" applyFont="1" applyFill="1" applyBorder="1" applyAlignment="1">
      <alignment horizontal="center" vertical="center"/>
    </xf>
    <xf numFmtId="0" fontId="8" fillId="3" borderId="25" xfId="2" applyFont="1" applyFill="1" applyBorder="1" applyAlignment="1">
      <alignment horizontal="center" vertical="center"/>
    </xf>
    <xf numFmtId="0" fontId="8" fillId="3" borderId="27" xfId="2" applyFont="1" applyFill="1" applyBorder="1" applyAlignment="1">
      <alignment horizontal="center" vertical="center"/>
    </xf>
    <xf numFmtId="38" fontId="8" fillId="3" borderId="21" xfId="1" applyFont="1" applyFill="1" applyBorder="1" applyAlignment="1">
      <alignment vertical="center"/>
    </xf>
    <xf numFmtId="0" fontId="3" fillId="0" borderId="2" xfId="0" applyFont="1" applyBorder="1" applyAlignment="1" applyProtection="1">
      <alignment vertical="center"/>
      <protection locked="0"/>
    </xf>
    <xf numFmtId="0" fontId="3" fillId="2" borderId="3" xfId="0" applyFont="1" applyFill="1" applyBorder="1" applyAlignment="1" applyProtection="1">
      <alignment vertical="center"/>
      <protection locked="0"/>
    </xf>
    <xf numFmtId="0" fontId="3" fillId="2" borderId="4" xfId="0" applyFont="1" applyFill="1" applyBorder="1" applyAlignment="1" applyProtection="1">
      <alignment vertical="center"/>
      <protection locked="0"/>
    </xf>
    <xf numFmtId="0" fontId="3" fillId="2" borderId="5" xfId="0" applyFont="1" applyFill="1" applyBorder="1" applyAlignment="1" applyProtection="1">
      <alignment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vertical="center"/>
      <protection locked="0"/>
    </xf>
    <xf numFmtId="0" fontId="3" fillId="3" borderId="1" xfId="0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vertical="center"/>
      <protection locked="0"/>
    </xf>
    <xf numFmtId="0" fontId="3" fillId="0" borderId="0" xfId="0" applyFont="1" applyFill="1" applyAlignment="1">
      <alignment vertical="center"/>
    </xf>
    <xf numFmtId="0" fontId="3" fillId="6" borderId="1" xfId="0" applyFont="1" applyFill="1" applyBorder="1" applyAlignment="1" applyProtection="1">
      <alignment vertical="center"/>
      <protection locked="0"/>
    </xf>
    <xf numFmtId="0" fontId="3" fillId="7" borderId="1" xfId="0" applyFont="1" applyFill="1" applyBorder="1" applyAlignment="1" applyProtection="1">
      <alignment vertical="center"/>
      <protection locked="0"/>
    </xf>
    <xf numFmtId="38" fontId="8" fillId="0" borderId="21" xfId="1" applyFont="1" applyBorder="1" applyAlignment="1">
      <alignment vertical="center"/>
    </xf>
    <xf numFmtId="38" fontId="8" fillId="0" borderId="25" xfId="1" applyFont="1" applyBorder="1" applyAlignment="1">
      <alignment vertical="center"/>
    </xf>
    <xf numFmtId="38" fontId="8" fillId="0" borderId="27" xfId="1" applyFont="1" applyBorder="1" applyAlignment="1">
      <alignment vertical="center"/>
    </xf>
    <xf numFmtId="0" fontId="8" fillId="3" borderId="21" xfId="2" applyFont="1" applyFill="1" applyBorder="1" applyAlignment="1">
      <alignment horizontal="center" vertical="center"/>
    </xf>
    <xf numFmtId="0" fontId="8" fillId="3" borderId="25" xfId="2" applyFont="1" applyFill="1" applyBorder="1" applyAlignment="1">
      <alignment horizontal="center" vertical="center"/>
    </xf>
    <xf numFmtId="0" fontId="8" fillId="3" borderId="27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38" fontId="8" fillId="0" borderId="8" xfId="1" applyFont="1" applyBorder="1" applyAlignment="1">
      <alignment vertical="center"/>
    </xf>
    <xf numFmtId="0" fontId="8" fillId="0" borderId="0" xfId="2" applyFont="1" applyAlignment="1">
      <alignment horizontal="right" vertical="center"/>
    </xf>
    <xf numFmtId="0" fontId="8" fillId="3" borderId="8" xfId="2" applyFont="1" applyFill="1" applyBorder="1" applyAlignment="1">
      <alignment horizontal="centerContinuous" vertical="center"/>
    </xf>
    <xf numFmtId="0" fontId="8" fillId="3" borderId="32" xfId="2" applyFont="1" applyFill="1" applyBorder="1" applyAlignment="1">
      <alignment horizontal="center" vertical="center"/>
    </xf>
    <xf numFmtId="0" fontId="8" fillId="3" borderId="33" xfId="2" applyFont="1" applyFill="1" applyBorder="1" applyAlignment="1">
      <alignment horizontal="center" vertical="center"/>
    </xf>
    <xf numFmtId="0" fontId="8" fillId="3" borderId="34" xfId="2" applyFont="1" applyFill="1" applyBorder="1" applyAlignment="1">
      <alignment horizontal="center" vertical="center"/>
    </xf>
    <xf numFmtId="0" fontId="8" fillId="0" borderId="21" xfId="2" applyFont="1" applyBorder="1" applyAlignment="1">
      <alignment vertical="center"/>
    </xf>
    <xf numFmtId="38" fontId="11" fillId="0" borderId="21" xfId="1" applyFont="1" applyBorder="1" applyAlignment="1">
      <alignment vertical="center"/>
    </xf>
    <xf numFmtId="38" fontId="11" fillId="0" borderId="21" xfId="1" applyFont="1" applyBorder="1" applyAlignment="1">
      <alignment horizontal="right" vertical="center"/>
    </xf>
    <xf numFmtId="38" fontId="8" fillId="0" borderId="26" xfId="1" applyFont="1" applyBorder="1" applyAlignment="1">
      <alignment horizontal="right" vertical="center"/>
    </xf>
    <xf numFmtId="38" fontId="8" fillId="0" borderId="26" xfId="1" applyFont="1" applyBorder="1" applyAlignment="1">
      <alignment vertical="center"/>
    </xf>
    <xf numFmtId="38" fontId="11" fillId="0" borderId="26" xfId="1" applyFont="1" applyBorder="1" applyAlignment="1">
      <alignment horizontal="right" vertical="center"/>
    </xf>
    <xf numFmtId="38" fontId="11" fillId="0" borderId="33" xfId="1" applyFont="1" applyBorder="1" applyAlignment="1">
      <alignment vertical="center"/>
    </xf>
    <xf numFmtId="38" fontId="8" fillId="0" borderId="29" xfId="1" applyFont="1" applyBorder="1" applyAlignment="1">
      <alignment vertical="center"/>
    </xf>
    <xf numFmtId="38" fontId="8" fillId="0" borderId="28" xfId="1" applyFont="1" applyBorder="1" applyAlignment="1">
      <alignment vertical="center"/>
    </xf>
    <xf numFmtId="38" fontId="8" fillId="0" borderId="34" xfId="1" applyFont="1" applyBorder="1" applyAlignment="1">
      <alignment horizontal="right" vertical="center"/>
    </xf>
    <xf numFmtId="38" fontId="8" fillId="0" borderId="27" xfId="1" applyFont="1" applyBorder="1" applyAlignment="1">
      <alignment horizontal="right" vertical="center"/>
    </xf>
    <xf numFmtId="38" fontId="8" fillId="0" borderId="29" xfId="1" applyFont="1" applyBorder="1" applyAlignment="1">
      <alignment horizontal="right" vertical="center"/>
    </xf>
    <xf numFmtId="38" fontId="8" fillId="0" borderId="32" xfId="1" applyFont="1" applyBorder="1" applyAlignment="1">
      <alignment vertical="center"/>
    </xf>
    <xf numFmtId="38" fontId="11" fillId="0" borderId="33" xfId="1" applyFont="1" applyBorder="1" applyAlignment="1">
      <alignment horizontal="right" vertical="center"/>
    </xf>
    <xf numFmtId="38" fontId="11" fillId="0" borderId="26" xfId="1" applyFont="1" applyBorder="1" applyAlignment="1">
      <alignment vertical="center"/>
    </xf>
    <xf numFmtId="38" fontId="8" fillId="0" borderId="34" xfId="1" applyFont="1" applyBorder="1" applyAlignment="1">
      <alignment vertical="center"/>
    </xf>
    <xf numFmtId="38" fontId="8" fillId="0" borderId="33" xfId="1" applyFont="1" applyBorder="1" applyAlignment="1">
      <alignment vertical="center"/>
    </xf>
    <xf numFmtId="0" fontId="8" fillId="0" borderId="27" xfId="2" applyFont="1" applyBorder="1" applyAlignment="1">
      <alignment vertical="center"/>
    </xf>
    <xf numFmtId="38" fontId="11" fillId="0" borderId="32" xfId="1" applyFont="1" applyBorder="1" applyAlignment="1">
      <alignment vertical="center"/>
    </xf>
    <xf numFmtId="38" fontId="8" fillId="0" borderId="33" xfId="1" applyFont="1" applyBorder="1" applyAlignment="1">
      <alignment horizontal="right" vertical="center"/>
    </xf>
    <xf numFmtId="0" fontId="8" fillId="0" borderId="25" xfId="2" applyFont="1" applyBorder="1" applyAlignment="1">
      <alignment vertical="center"/>
    </xf>
    <xf numFmtId="38" fontId="8" fillId="0" borderId="35" xfId="1" applyFont="1" applyBorder="1" applyAlignment="1">
      <alignment vertical="center"/>
    </xf>
    <xf numFmtId="38" fontId="8" fillId="0" borderId="0" xfId="1" applyFont="1" applyBorder="1" applyAlignment="1">
      <alignment vertical="center"/>
    </xf>
    <xf numFmtId="38" fontId="11" fillId="0" borderId="36" xfId="1" applyFont="1" applyBorder="1" applyAlignment="1">
      <alignment horizontal="right" vertical="center"/>
    </xf>
    <xf numFmtId="38" fontId="11" fillId="0" borderId="35" xfId="1" applyFont="1" applyBorder="1" applyAlignment="1">
      <alignment horizontal="right" vertical="center"/>
    </xf>
    <xf numFmtId="38" fontId="11" fillId="0" borderId="36" xfId="1" applyFont="1" applyBorder="1" applyAlignment="1">
      <alignment vertical="center"/>
    </xf>
    <xf numFmtId="38" fontId="11" fillId="0" borderId="25" xfId="1" applyFont="1" applyBorder="1" applyAlignment="1">
      <alignment horizontal="right" vertical="center"/>
    </xf>
    <xf numFmtId="38" fontId="8" fillId="0" borderId="36" xfId="1" applyFont="1" applyBorder="1" applyAlignment="1">
      <alignment horizontal="right" vertical="center"/>
    </xf>
    <xf numFmtId="41" fontId="8" fillId="0" borderId="0" xfId="2" applyNumberFormat="1" applyFont="1" applyAlignment="1">
      <alignment vertical="center"/>
    </xf>
    <xf numFmtId="177" fontId="8" fillId="0" borderId="0" xfId="2" applyNumberFormat="1" applyFont="1" applyAlignment="1">
      <alignment vertical="center"/>
    </xf>
    <xf numFmtId="178" fontId="8" fillId="0" borderId="0" xfId="2" applyNumberFormat="1" applyFont="1" applyAlignment="1">
      <alignment vertical="center"/>
    </xf>
    <xf numFmtId="179" fontId="8" fillId="0" borderId="0" xfId="2" applyNumberFormat="1" applyFont="1" applyAlignment="1">
      <alignment vertical="center"/>
    </xf>
    <xf numFmtId="0" fontId="3" fillId="0" borderId="1" xfId="0" applyFont="1" applyFill="1" applyBorder="1"/>
    <xf numFmtId="38" fontId="3" fillId="0" borderId="1" xfId="1" applyFont="1" applyFill="1" applyBorder="1" applyAlignment="1"/>
    <xf numFmtId="180" fontId="3" fillId="0" borderId="1" xfId="0" applyNumberFormat="1" applyFont="1" applyFill="1" applyBorder="1"/>
    <xf numFmtId="181" fontId="3" fillId="0" borderId="1" xfId="1" applyNumberFormat="1" applyFont="1" applyFill="1" applyBorder="1" applyAlignment="1"/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vertical="center"/>
    </xf>
    <xf numFmtId="0" fontId="8" fillId="3" borderId="21" xfId="2" applyFont="1" applyFill="1" applyBorder="1" applyAlignment="1">
      <alignment horizontal="center" vertical="center"/>
    </xf>
    <xf numFmtId="0" fontId="8" fillId="3" borderId="27" xfId="2" applyFont="1" applyFill="1" applyBorder="1" applyAlignment="1">
      <alignment horizontal="center" vertical="center"/>
    </xf>
    <xf numFmtId="0" fontId="8" fillId="3" borderId="21" xfId="2" applyFont="1" applyFill="1" applyBorder="1" applyAlignment="1">
      <alignment horizontal="center" vertical="center"/>
    </xf>
    <xf numFmtId="0" fontId="8" fillId="3" borderId="27" xfId="2" applyFont="1" applyFill="1" applyBorder="1" applyAlignment="1">
      <alignment horizontal="center" vertical="center"/>
    </xf>
    <xf numFmtId="0" fontId="8" fillId="3" borderId="21" xfId="2" applyFont="1" applyFill="1" applyBorder="1" applyAlignment="1">
      <alignment horizontal="center" vertical="center" wrapText="1"/>
    </xf>
    <xf numFmtId="182" fontId="8" fillId="3" borderId="22" xfId="2" applyNumberFormat="1" applyFont="1" applyFill="1" applyBorder="1" applyAlignment="1">
      <alignment horizontal="centerContinuous" vertical="center"/>
    </xf>
    <xf numFmtId="182" fontId="8" fillId="3" borderId="23" xfId="2" applyNumberFormat="1" applyFont="1" applyFill="1" applyBorder="1" applyAlignment="1">
      <alignment horizontal="centerContinuous" vertical="center"/>
    </xf>
    <xf numFmtId="4" fontId="8" fillId="0" borderId="8" xfId="2" applyNumberFormat="1" applyFont="1" applyBorder="1" applyAlignment="1">
      <alignment horizontal="center" vertical="center"/>
    </xf>
    <xf numFmtId="0" fontId="3" fillId="6" borderId="1" xfId="0" applyFont="1" applyFill="1" applyBorder="1" applyAlignment="1">
      <alignment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vertical="center"/>
    </xf>
    <xf numFmtId="0" fontId="3" fillId="7" borderId="4" xfId="0" applyFont="1" applyFill="1" applyBorder="1" applyAlignment="1">
      <alignment vertical="center"/>
    </xf>
    <xf numFmtId="0" fontId="3" fillId="7" borderId="5" xfId="0" applyFont="1" applyFill="1" applyBorder="1" applyAlignment="1">
      <alignment vertical="center"/>
    </xf>
    <xf numFmtId="0" fontId="3" fillId="6" borderId="3" xfId="0" applyFont="1" applyFill="1" applyBorder="1" applyAlignment="1">
      <alignment vertical="center"/>
    </xf>
    <xf numFmtId="0" fontId="3" fillId="6" borderId="4" xfId="0" applyFont="1" applyFill="1" applyBorder="1" applyAlignment="1">
      <alignment vertical="center"/>
    </xf>
    <xf numFmtId="0" fontId="3" fillId="6" borderId="5" xfId="0" applyFont="1" applyFill="1" applyBorder="1" applyAlignment="1">
      <alignment vertical="center"/>
    </xf>
    <xf numFmtId="0" fontId="8" fillId="3" borderId="26" xfId="2" applyFont="1" applyFill="1" applyBorder="1" applyAlignment="1">
      <alignment horizontal="center" vertical="center" wrapText="1"/>
    </xf>
    <xf numFmtId="181" fontId="8" fillId="0" borderId="8" xfId="1" applyNumberFormat="1" applyFont="1" applyBorder="1" applyAlignment="1">
      <alignment vertical="center"/>
    </xf>
    <xf numFmtId="0" fontId="13" fillId="0" borderId="0" xfId="0" applyFont="1"/>
    <xf numFmtId="0" fontId="13" fillId="3" borderId="0" xfId="0" applyFont="1" applyFill="1" applyAlignment="1">
      <alignment horizontal="center"/>
    </xf>
    <xf numFmtId="0" fontId="13" fillId="3" borderId="2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vertical="center"/>
    </xf>
    <xf numFmtId="0" fontId="13" fillId="4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13" fillId="3" borderId="7" xfId="0" applyFont="1" applyFill="1" applyBorder="1" applyAlignment="1">
      <alignment horizontal="center" vertical="center"/>
    </xf>
    <xf numFmtId="0" fontId="13" fillId="3" borderId="1" xfId="0" quotePrefix="1" applyFont="1" applyFill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180" fontId="12" fillId="0" borderId="1" xfId="0" applyNumberFormat="1" applyFont="1" applyBorder="1" applyAlignment="1">
      <alignment vertical="center"/>
    </xf>
    <xf numFmtId="2" fontId="12" fillId="0" borderId="1" xfId="0" applyNumberFormat="1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4" borderId="0" xfId="0" applyFont="1" applyFill="1" applyAlignme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2" fontId="12" fillId="8" borderId="1" xfId="0" applyNumberFormat="1" applyFont="1" applyFill="1" applyBorder="1" applyAlignment="1">
      <alignment vertical="center"/>
    </xf>
    <xf numFmtId="180" fontId="12" fillId="8" borderId="1" xfId="0" applyNumberFormat="1" applyFont="1" applyFill="1" applyBorder="1" applyAlignment="1">
      <alignment vertical="center"/>
    </xf>
    <xf numFmtId="38" fontId="8" fillId="3" borderId="21" xfId="1" applyFont="1" applyFill="1" applyBorder="1" applyAlignment="1">
      <alignment vertical="center"/>
    </xf>
    <xf numFmtId="38" fontId="8" fillId="3" borderId="25" xfId="1" applyFont="1" applyFill="1" applyBorder="1" applyAlignment="1">
      <alignment vertical="center"/>
    </xf>
    <xf numFmtId="38" fontId="8" fillId="3" borderId="27" xfId="1" applyFont="1" applyFill="1" applyBorder="1" applyAlignment="1">
      <alignment vertical="center"/>
    </xf>
    <xf numFmtId="38" fontId="8" fillId="0" borderId="21" xfId="1" applyFont="1" applyBorder="1" applyAlignment="1">
      <alignment vertical="center"/>
    </xf>
    <xf numFmtId="38" fontId="8" fillId="0" borderId="25" xfId="1" applyFont="1" applyBorder="1" applyAlignment="1">
      <alignment vertical="center"/>
    </xf>
    <xf numFmtId="38" fontId="8" fillId="0" borderId="27" xfId="1" applyFont="1" applyBorder="1" applyAlignment="1">
      <alignment vertical="center"/>
    </xf>
    <xf numFmtId="0" fontId="8" fillId="3" borderId="21" xfId="2" applyFont="1" applyFill="1" applyBorder="1" applyAlignment="1">
      <alignment horizontal="center" vertical="center"/>
    </xf>
    <xf numFmtId="0" fontId="8" fillId="3" borderId="25" xfId="2" applyFont="1" applyFill="1" applyBorder="1" applyAlignment="1">
      <alignment horizontal="center" vertical="center"/>
    </xf>
    <xf numFmtId="0" fontId="8" fillId="3" borderId="27" xfId="2" applyFont="1" applyFill="1" applyBorder="1" applyAlignment="1">
      <alignment horizontal="center" vertical="center"/>
    </xf>
  </cellXfs>
  <cellStyles count="3">
    <cellStyle name="桁区切り" xfId="1" builtinId="6"/>
    <cellStyle name="標準" xfId="0" builtinId="0"/>
    <cellStyle name="標準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3"/>
  <sheetViews>
    <sheetView showGridLines="0" zoomScaleNormal="100" workbookViewId="0">
      <selection activeCell="C14" sqref="C13:C14"/>
    </sheetView>
  </sheetViews>
  <sheetFormatPr defaultRowHeight="14.25"/>
  <cols>
    <col min="1" max="1" width="12.625" style="3" customWidth="1"/>
    <col min="2" max="2" width="69.625" style="3" customWidth="1"/>
    <col min="3" max="16384" width="9" style="3"/>
  </cols>
  <sheetData>
    <row r="1" spans="1:2">
      <c r="A1" s="3" t="s">
        <v>68</v>
      </c>
    </row>
    <row r="2" spans="1:2">
      <c r="A2" s="5" t="s">
        <v>69</v>
      </c>
      <c r="B2" s="4" t="s">
        <v>361</v>
      </c>
    </row>
    <row r="3" spans="1:2">
      <c r="A3" s="5" t="s">
        <v>75</v>
      </c>
      <c r="B3" s="4" t="s">
        <v>77</v>
      </c>
    </row>
    <row r="5" spans="1:2">
      <c r="A5" s="3" t="s">
        <v>67</v>
      </c>
    </row>
    <row r="6" spans="1:2">
      <c r="A6" s="5" t="s">
        <v>102</v>
      </c>
      <c r="B6" s="6" t="s">
        <v>178</v>
      </c>
    </row>
    <row r="7" spans="1:2">
      <c r="A7" s="5" t="s">
        <v>103</v>
      </c>
      <c r="B7" s="7" t="s">
        <v>180</v>
      </c>
    </row>
    <row r="8" spans="1:2">
      <c r="A8" s="5" t="s">
        <v>61</v>
      </c>
      <c r="B8" s="6" t="s">
        <v>181</v>
      </c>
    </row>
    <row r="9" spans="1:2">
      <c r="A9" s="5" t="s">
        <v>62</v>
      </c>
      <c r="B9" s="7">
        <v>42370</v>
      </c>
    </row>
    <row r="10" spans="1:2">
      <c r="A10" s="5" t="s">
        <v>63</v>
      </c>
      <c r="B10" s="6" t="s">
        <v>182</v>
      </c>
    </row>
    <row r="11" spans="1:2">
      <c r="A11" s="5" t="s">
        <v>64</v>
      </c>
      <c r="B11" s="6" t="s">
        <v>183</v>
      </c>
    </row>
    <row r="12" spans="1:2">
      <c r="A12" s="5" t="s">
        <v>101</v>
      </c>
      <c r="B12" s="6" t="s">
        <v>184</v>
      </c>
    </row>
    <row r="13" spans="1:2">
      <c r="A13" s="5" t="s">
        <v>65</v>
      </c>
      <c r="B13" s="6" t="s">
        <v>185</v>
      </c>
    </row>
    <row r="14" spans="1:2">
      <c r="A14" s="5" t="s">
        <v>100</v>
      </c>
      <c r="B14" s="6" t="s">
        <v>186</v>
      </c>
    </row>
    <row r="15" spans="1:2" ht="102" customHeight="1">
      <c r="A15" s="5" t="s">
        <v>66</v>
      </c>
      <c r="B15" s="8" t="s">
        <v>187</v>
      </c>
    </row>
    <row r="20" spans="1:2">
      <c r="A20" s="3" t="s">
        <v>271</v>
      </c>
    </row>
    <row r="21" spans="1:2">
      <c r="A21" s="5" t="s">
        <v>268</v>
      </c>
      <c r="B21" s="4" t="b">
        <v>1</v>
      </c>
    </row>
    <row r="22" spans="1:2">
      <c r="A22" s="5" t="s">
        <v>269</v>
      </c>
      <c r="B22" s="4" t="b">
        <v>1</v>
      </c>
    </row>
    <row r="23" spans="1:2">
      <c r="A23" s="5" t="s">
        <v>270</v>
      </c>
      <c r="B23" s="4" t="b">
        <v>1</v>
      </c>
    </row>
  </sheetData>
  <dataConsolidate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8"/>
  <sheetViews>
    <sheetView showGridLines="0" zoomScale="115" zoomScaleNormal="115" workbookViewId="0">
      <selection activeCell="F21" sqref="F21"/>
    </sheetView>
  </sheetViews>
  <sheetFormatPr defaultRowHeight="10.5"/>
  <cols>
    <col min="1" max="1" width="15.75" style="11" customWidth="1"/>
    <col min="2" max="3" width="8.5" style="11" customWidth="1"/>
    <col min="4" max="4" width="9" style="11"/>
    <col min="5" max="5" width="16.375" style="11" customWidth="1"/>
    <col min="6" max="16384" width="9" style="11"/>
  </cols>
  <sheetData>
    <row r="1" spans="1:5">
      <c r="A1" s="9" t="s">
        <v>70</v>
      </c>
      <c r="B1" s="10" t="s">
        <v>188</v>
      </c>
      <c r="C1" s="10" t="s">
        <v>189</v>
      </c>
      <c r="D1" s="10" t="s">
        <v>76</v>
      </c>
      <c r="E1" s="10" t="s">
        <v>66</v>
      </c>
    </row>
    <row r="2" spans="1:5">
      <c r="A2" s="12" t="s">
        <v>73</v>
      </c>
      <c r="B2" s="13"/>
      <c r="C2" s="13"/>
      <c r="D2" s="14" t="s">
        <v>72</v>
      </c>
      <c r="E2" s="14"/>
    </row>
    <row r="3" spans="1:5">
      <c r="A3" s="12" t="s">
        <v>71</v>
      </c>
      <c r="B3" s="13"/>
      <c r="C3" s="13"/>
      <c r="D3" s="14" t="s">
        <v>72</v>
      </c>
      <c r="E3" s="14"/>
    </row>
    <row r="4" spans="1:5">
      <c r="A4" s="12" t="s">
        <v>74</v>
      </c>
      <c r="B4" s="13"/>
      <c r="C4" s="13"/>
      <c r="D4" s="14" t="s">
        <v>72</v>
      </c>
      <c r="E4" s="14"/>
    </row>
    <row r="5" spans="1:5">
      <c r="A5" s="12"/>
      <c r="B5" s="13"/>
      <c r="C5" s="13"/>
      <c r="D5" s="14"/>
      <c r="E5" s="14"/>
    </row>
    <row r="6" spans="1:5">
      <c r="A6" s="12"/>
      <c r="B6" s="13"/>
      <c r="C6" s="13"/>
      <c r="D6" s="14"/>
      <c r="E6" s="14"/>
    </row>
    <row r="7" spans="1:5">
      <c r="A7" s="12"/>
      <c r="B7" s="13"/>
      <c r="C7" s="13"/>
      <c r="D7" s="14"/>
      <c r="E7" s="14"/>
    </row>
    <row r="8" spans="1:5">
      <c r="A8" s="12"/>
      <c r="B8" s="13"/>
      <c r="C8" s="13"/>
      <c r="D8" s="14"/>
      <c r="E8" s="14"/>
    </row>
    <row r="9" spans="1:5">
      <c r="A9" s="12"/>
      <c r="B9" s="13"/>
      <c r="C9" s="13"/>
      <c r="D9" s="14"/>
      <c r="E9" s="14"/>
    </row>
    <row r="10" spans="1:5">
      <c r="A10" s="12"/>
      <c r="B10" s="13"/>
      <c r="C10" s="13"/>
      <c r="D10" s="14"/>
      <c r="E10" s="14"/>
    </row>
    <row r="12" spans="1:5">
      <c r="A12" s="9" t="s">
        <v>87</v>
      </c>
      <c r="B12" s="10" t="s">
        <v>188</v>
      </c>
      <c r="C12" s="10" t="s">
        <v>189</v>
      </c>
      <c r="D12" s="10" t="s">
        <v>76</v>
      </c>
      <c r="E12" s="10" t="s">
        <v>66</v>
      </c>
    </row>
    <row r="13" spans="1:5">
      <c r="A13" s="12" t="s">
        <v>170</v>
      </c>
      <c r="B13" s="13">
        <v>0.2</v>
      </c>
      <c r="C13" s="13">
        <v>0.2</v>
      </c>
      <c r="D13" s="14" t="s">
        <v>169</v>
      </c>
      <c r="E13" s="14"/>
    </row>
    <row r="14" spans="1:5">
      <c r="A14" s="12" t="s">
        <v>171</v>
      </c>
      <c r="B14" s="13">
        <v>0.4</v>
      </c>
      <c r="C14" s="13">
        <v>0.4</v>
      </c>
      <c r="D14" s="14" t="s">
        <v>169</v>
      </c>
      <c r="E14" s="14"/>
    </row>
    <row r="15" spans="1:5">
      <c r="A15" s="12" t="s">
        <v>172</v>
      </c>
      <c r="B15" s="13">
        <v>0.6</v>
      </c>
      <c r="C15" s="13">
        <v>0.6</v>
      </c>
      <c r="D15" s="14" t="s">
        <v>169</v>
      </c>
      <c r="E15" s="14"/>
    </row>
    <row r="16" spans="1:5">
      <c r="A16" s="12" t="s">
        <v>173</v>
      </c>
      <c r="B16" s="13">
        <v>0.6</v>
      </c>
      <c r="C16" s="13">
        <v>0.6</v>
      </c>
      <c r="D16" s="14" t="s">
        <v>169</v>
      </c>
      <c r="E16" s="14"/>
    </row>
    <row r="17" spans="1:5">
      <c r="A17" s="12" t="s">
        <v>174</v>
      </c>
      <c r="B17" s="13">
        <v>0.7</v>
      </c>
      <c r="C17" s="13">
        <v>0.7</v>
      </c>
      <c r="D17" s="14" t="s">
        <v>169</v>
      </c>
      <c r="E17" s="14"/>
    </row>
    <row r="18" spans="1:5">
      <c r="A18" s="12"/>
      <c r="B18" s="13"/>
      <c r="C18" s="13"/>
      <c r="D18" s="14"/>
      <c r="E18" s="14"/>
    </row>
    <row r="19" spans="1:5">
      <c r="A19" s="12"/>
      <c r="B19" s="13"/>
      <c r="C19" s="13"/>
      <c r="D19" s="14"/>
      <c r="E19" s="14"/>
    </row>
    <row r="20" spans="1:5">
      <c r="A20" s="12"/>
      <c r="B20" s="13"/>
      <c r="C20" s="13"/>
      <c r="D20" s="14"/>
      <c r="E20" s="14"/>
    </row>
    <row r="22" spans="1:5">
      <c r="A22" s="9" t="s">
        <v>88</v>
      </c>
      <c r="B22" s="10" t="s">
        <v>188</v>
      </c>
      <c r="C22" s="10" t="s">
        <v>189</v>
      </c>
      <c r="D22" s="10" t="s">
        <v>76</v>
      </c>
      <c r="E22" s="10" t="s">
        <v>66</v>
      </c>
    </row>
    <row r="23" spans="1:5">
      <c r="A23" s="12" t="s">
        <v>170</v>
      </c>
      <c r="B23" s="13">
        <v>0.2</v>
      </c>
      <c r="C23" s="13">
        <v>0.2</v>
      </c>
      <c r="D23" s="14" t="s">
        <v>175</v>
      </c>
      <c r="E23" s="14"/>
    </row>
    <row r="24" spans="1:5">
      <c r="A24" s="12" t="s">
        <v>171</v>
      </c>
      <c r="B24" s="13">
        <v>0.6</v>
      </c>
      <c r="C24" s="13">
        <v>0.6</v>
      </c>
      <c r="D24" s="14" t="s">
        <v>176</v>
      </c>
      <c r="E24" s="14"/>
    </row>
    <row r="25" spans="1:5">
      <c r="A25" s="12" t="s">
        <v>172</v>
      </c>
      <c r="B25" s="13">
        <v>0.9</v>
      </c>
      <c r="C25" s="13">
        <v>0.9</v>
      </c>
      <c r="D25" s="14" t="s">
        <v>176</v>
      </c>
      <c r="E25" s="14"/>
    </row>
    <row r="26" spans="1:5">
      <c r="A26" s="12" t="s">
        <v>173</v>
      </c>
      <c r="B26" s="13">
        <v>0.9</v>
      </c>
      <c r="C26" s="13">
        <v>0.9</v>
      </c>
      <c r="D26" s="14" t="s">
        <v>176</v>
      </c>
      <c r="E26" s="14"/>
    </row>
    <row r="27" spans="1:5">
      <c r="A27" s="12" t="s">
        <v>174</v>
      </c>
      <c r="B27" s="13">
        <v>1</v>
      </c>
      <c r="C27" s="13">
        <v>1</v>
      </c>
      <c r="D27" s="14" t="s">
        <v>176</v>
      </c>
      <c r="E27" s="14"/>
    </row>
    <row r="28" spans="1:5">
      <c r="A28" s="12"/>
      <c r="B28" s="13"/>
      <c r="C28" s="13"/>
      <c r="D28" s="14"/>
      <c r="E28" s="14"/>
    </row>
  </sheetData>
  <dataConsolidate/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31"/>
  <sheetViews>
    <sheetView showGridLines="0" tabSelected="1" zoomScale="85" zoomScaleNormal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J15" sqref="J15"/>
    </sheetView>
  </sheetViews>
  <sheetFormatPr defaultColWidth="9" defaultRowHeight="11.25" outlineLevelCol="2"/>
  <cols>
    <col min="1" max="2" width="2.25" style="79" customWidth="1"/>
    <col min="3" max="6" width="3.625" style="79" customWidth="1" outlineLevel="1"/>
    <col min="7" max="7" width="1.875" style="79" customWidth="1"/>
    <col min="8" max="14" width="3.625" style="79" customWidth="1" outlineLevel="2"/>
    <col min="15" max="15" width="1.875" style="79" customWidth="1" outlineLevel="1"/>
    <col min="16" max="19" width="3.625" style="79" customWidth="1" outlineLevel="2"/>
    <col min="20" max="20" width="1.875" style="79" customWidth="1" outlineLevel="1"/>
    <col min="21" max="23" width="3.625" style="79" customWidth="1" outlineLevel="2"/>
    <col min="24" max="24" width="1.875" style="79" customWidth="1" outlineLevel="1"/>
    <col min="25" max="29" width="3.625" style="79" customWidth="1" outlineLevel="2"/>
    <col min="30" max="30" width="1.875" style="79" customWidth="1" outlineLevel="1"/>
    <col min="31" max="38" width="3.125" style="79" customWidth="1" outlineLevel="2"/>
    <col min="39" max="39" width="1.875" style="79" customWidth="1" outlineLevel="1"/>
    <col min="40" max="42" width="3.625" style="79" customWidth="1" outlineLevel="2"/>
    <col min="43" max="43" width="1.875" style="79" customWidth="1" outlineLevel="1"/>
    <col min="44" max="47" width="3.625" style="79" customWidth="1" outlineLevel="2"/>
    <col min="48" max="48" width="1.875" style="79" customWidth="1" outlineLevel="1"/>
    <col min="49" max="53" width="3.625" style="79" customWidth="1" outlineLevel="2"/>
    <col min="54" max="54" width="1.875" style="79" customWidth="1" outlineLevel="1"/>
    <col min="55" max="59" width="9" style="79" customWidth="1" outlineLevel="2"/>
    <col min="60" max="60" width="2.125" style="79" customWidth="1" outlineLevel="1"/>
    <col min="61" max="61" width="2.125" style="79" customWidth="1"/>
    <col min="62" max="62" width="8" style="1" customWidth="1" outlineLevel="1"/>
    <col min="63" max="64" width="4.5" style="1" customWidth="1" outlineLevel="1"/>
    <col min="65" max="68" width="9" style="1" customWidth="1" outlineLevel="1"/>
    <col min="69" max="69" width="4.5" style="1" customWidth="1" outlineLevel="1"/>
    <col min="70" max="70" width="5.375" style="1" customWidth="1" outlineLevel="1"/>
    <col min="71" max="74" width="4.5" style="1" customWidth="1" outlineLevel="1"/>
    <col min="75" max="75" width="4.375" style="1" customWidth="1" outlineLevel="1"/>
    <col min="76" max="87" width="4.5" style="1" customWidth="1" outlineLevel="1"/>
    <col min="88" max="88" width="5" style="1" customWidth="1" outlineLevel="1"/>
    <col min="89" max="95" width="4.5" style="1" customWidth="1" outlineLevel="1"/>
    <col min="96" max="96" width="2.125" style="79" customWidth="1"/>
    <col min="97" max="16384" width="9" style="1"/>
  </cols>
  <sheetData>
    <row r="1" spans="1:96">
      <c r="A1" s="59"/>
      <c r="B1" s="59"/>
      <c r="C1" s="60" t="s">
        <v>33</v>
      </c>
      <c r="D1" s="61"/>
      <c r="E1" s="61"/>
      <c r="F1" s="62"/>
      <c r="G1" s="63" t="s">
        <v>34</v>
      </c>
      <c r="H1" s="60" t="s">
        <v>48</v>
      </c>
      <c r="I1" s="61"/>
      <c r="J1" s="61"/>
      <c r="K1" s="61"/>
      <c r="L1" s="61"/>
      <c r="M1" s="61"/>
      <c r="N1" s="62"/>
      <c r="O1" s="63" t="s">
        <v>40</v>
      </c>
      <c r="P1" s="60" t="s">
        <v>4</v>
      </c>
      <c r="Q1" s="61"/>
      <c r="R1" s="61"/>
      <c r="S1" s="62"/>
      <c r="T1" s="63" t="s">
        <v>38</v>
      </c>
      <c r="U1" s="60" t="s">
        <v>1</v>
      </c>
      <c r="V1" s="61"/>
      <c r="W1" s="62"/>
      <c r="X1" s="63" t="s">
        <v>39</v>
      </c>
      <c r="Y1" s="60" t="s">
        <v>12</v>
      </c>
      <c r="Z1" s="61"/>
      <c r="AA1" s="61"/>
      <c r="AB1" s="61"/>
      <c r="AC1" s="62"/>
      <c r="AD1" s="63" t="s">
        <v>19</v>
      </c>
      <c r="AE1" s="60" t="s">
        <v>167</v>
      </c>
      <c r="AF1" s="61"/>
      <c r="AG1" s="61"/>
      <c r="AH1" s="61"/>
      <c r="AI1" s="61"/>
      <c r="AJ1" s="61"/>
      <c r="AK1" s="61"/>
      <c r="AL1" s="62"/>
      <c r="AM1" s="63" t="s">
        <v>168</v>
      </c>
      <c r="AN1" s="60" t="s">
        <v>49</v>
      </c>
      <c r="AO1" s="61"/>
      <c r="AP1" s="62"/>
      <c r="AQ1" s="63" t="s">
        <v>20</v>
      </c>
      <c r="AR1" s="60" t="s">
        <v>59</v>
      </c>
      <c r="AS1" s="61"/>
      <c r="AT1" s="61"/>
      <c r="AU1" s="61"/>
      <c r="AV1" s="63" t="s">
        <v>60</v>
      </c>
      <c r="AW1" s="60" t="s">
        <v>13</v>
      </c>
      <c r="AX1" s="61"/>
      <c r="AY1" s="61"/>
      <c r="AZ1" s="61"/>
      <c r="BA1" s="61"/>
      <c r="BB1" s="63" t="s">
        <v>21</v>
      </c>
      <c r="BC1" s="61" t="s">
        <v>47</v>
      </c>
      <c r="BD1" s="61"/>
      <c r="BE1" s="61"/>
      <c r="BF1" s="61"/>
      <c r="BG1" s="61"/>
      <c r="BH1" s="63" t="s">
        <v>41</v>
      </c>
      <c r="BI1" s="2" t="s">
        <v>51</v>
      </c>
      <c r="BJ1" s="142"/>
      <c r="BK1" s="143"/>
      <c r="BL1" s="144"/>
      <c r="BM1" s="145" t="s">
        <v>237</v>
      </c>
      <c r="BN1" s="146"/>
      <c r="BO1" s="146"/>
      <c r="BP1" s="147"/>
      <c r="BQ1" s="148" t="s">
        <v>227</v>
      </c>
      <c r="BR1" s="149"/>
      <c r="BS1" s="149"/>
      <c r="BT1" s="149"/>
      <c r="BU1" s="149"/>
      <c r="BV1" s="149"/>
      <c r="BW1" s="149"/>
      <c r="BX1" s="149"/>
      <c r="BY1" s="149"/>
      <c r="BZ1" s="150"/>
      <c r="CA1" s="145" t="s">
        <v>228</v>
      </c>
      <c r="CB1" s="146"/>
      <c r="CC1" s="146"/>
      <c r="CD1" s="146"/>
      <c r="CE1" s="147"/>
      <c r="CF1" s="148" t="s">
        <v>223</v>
      </c>
      <c r="CG1" s="149"/>
      <c r="CH1" s="149"/>
      <c r="CI1" s="149"/>
      <c r="CJ1" s="150"/>
      <c r="CK1" s="145" t="s">
        <v>250</v>
      </c>
      <c r="CL1" s="146"/>
      <c r="CM1" s="146"/>
      <c r="CN1" s="147"/>
      <c r="CO1" s="148" t="s">
        <v>253</v>
      </c>
      <c r="CP1" s="149"/>
      <c r="CQ1" s="150"/>
      <c r="CR1" s="2" t="s">
        <v>51</v>
      </c>
    </row>
    <row r="2" spans="1:96" ht="22.5" customHeight="1">
      <c r="A2" s="64" t="s">
        <v>50</v>
      </c>
      <c r="B2" s="64" t="s">
        <v>85</v>
      </c>
      <c r="C2" s="65" t="s">
        <v>32</v>
      </c>
      <c r="D2" s="65" t="s">
        <v>55</v>
      </c>
      <c r="E2" s="65" t="s">
        <v>53</v>
      </c>
      <c r="F2" s="65" t="s">
        <v>54</v>
      </c>
      <c r="G2" s="63"/>
      <c r="H2" s="65" t="s">
        <v>23</v>
      </c>
      <c r="I2" s="66" t="s">
        <v>22</v>
      </c>
      <c r="J2" s="67" t="s">
        <v>52</v>
      </c>
      <c r="K2" s="67" t="s">
        <v>30</v>
      </c>
      <c r="L2" s="65" t="s">
        <v>24</v>
      </c>
      <c r="M2" s="67" t="s">
        <v>31</v>
      </c>
      <c r="N2" s="68" t="s">
        <v>6</v>
      </c>
      <c r="O2" s="63"/>
      <c r="P2" s="68" t="s">
        <v>5</v>
      </c>
      <c r="Q2" s="65" t="s">
        <v>78</v>
      </c>
      <c r="R2" s="65" t="s">
        <v>79</v>
      </c>
      <c r="S2" s="65" t="s">
        <v>81</v>
      </c>
      <c r="T2" s="63"/>
      <c r="U2" s="68" t="s">
        <v>1</v>
      </c>
      <c r="V2" s="68" t="s">
        <v>35</v>
      </c>
      <c r="W2" s="68" t="s">
        <v>10</v>
      </c>
      <c r="X2" s="63"/>
      <c r="Y2" s="65" t="s">
        <v>162</v>
      </c>
      <c r="Z2" s="65" t="s">
        <v>163</v>
      </c>
      <c r="AA2" s="65" t="s">
        <v>164</v>
      </c>
      <c r="AB2" s="65" t="s">
        <v>165</v>
      </c>
      <c r="AC2" s="67" t="s">
        <v>166</v>
      </c>
      <c r="AD2" s="63"/>
      <c r="AE2" s="65" t="s">
        <v>95</v>
      </c>
      <c r="AF2" s="65" t="s">
        <v>96</v>
      </c>
      <c r="AG2" s="65" t="s">
        <v>97</v>
      </c>
      <c r="AH2" s="67" t="s">
        <v>98</v>
      </c>
      <c r="AI2" s="67" t="s">
        <v>99</v>
      </c>
      <c r="AJ2" s="65" t="s">
        <v>57</v>
      </c>
      <c r="AK2" s="65" t="s">
        <v>58</v>
      </c>
      <c r="AL2" s="65" t="s">
        <v>92</v>
      </c>
      <c r="AM2" s="63"/>
      <c r="AN2" s="65" t="s">
        <v>90</v>
      </c>
      <c r="AO2" s="65" t="s">
        <v>91</v>
      </c>
      <c r="AP2" s="65" t="s">
        <v>161</v>
      </c>
      <c r="AQ2" s="63"/>
      <c r="AR2" s="68" t="s">
        <v>84</v>
      </c>
      <c r="AS2" s="68" t="s">
        <v>14</v>
      </c>
      <c r="AT2" s="65" t="s">
        <v>83</v>
      </c>
      <c r="AU2" s="65" t="s">
        <v>177</v>
      </c>
      <c r="AV2" s="63"/>
      <c r="AW2" s="65" t="s">
        <v>29</v>
      </c>
      <c r="AX2" s="65" t="s">
        <v>28</v>
      </c>
      <c r="AY2" s="65" t="s">
        <v>25</v>
      </c>
      <c r="AZ2" s="65" t="s">
        <v>27</v>
      </c>
      <c r="BA2" s="65" t="s">
        <v>26</v>
      </c>
      <c r="BB2" s="63"/>
      <c r="BC2" s="69" t="s">
        <v>42</v>
      </c>
      <c r="BD2" s="70" t="s">
        <v>43</v>
      </c>
      <c r="BE2" s="70" t="s">
        <v>44</v>
      </c>
      <c r="BF2" s="70" t="s">
        <v>45</v>
      </c>
      <c r="BG2" s="71" t="s">
        <v>46</v>
      </c>
      <c r="BH2" s="63"/>
      <c r="BI2" s="2" t="s">
        <v>51</v>
      </c>
      <c r="BJ2" s="133" t="s">
        <v>246</v>
      </c>
      <c r="BK2" s="132" t="s">
        <v>241</v>
      </c>
      <c r="BL2" s="132" t="s">
        <v>247</v>
      </c>
      <c r="BM2" s="131" t="s">
        <v>238</v>
      </c>
      <c r="BN2" s="132" t="s">
        <v>240</v>
      </c>
      <c r="BO2" s="132" t="s">
        <v>239</v>
      </c>
      <c r="BP2" s="132" t="s">
        <v>243</v>
      </c>
      <c r="BQ2" s="132" t="s">
        <v>218</v>
      </c>
      <c r="BR2" s="132" t="s">
        <v>216</v>
      </c>
      <c r="BS2" s="132" t="s">
        <v>220</v>
      </c>
      <c r="BT2" s="132" t="s">
        <v>221</v>
      </c>
      <c r="BU2" s="132" t="s">
        <v>248</v>
      </c>
      <c r="BV2" s="132" t="s">
        <v>233</v>
      </c>
      <c r="BW2" s="132" t="s">
        <v>252</v>
      </c>
      <c r="BX2" s="132" t="s">
        <v>254</v>
      </c>
      <c r="BY2" s="132" t="s">
        <v>244</v>
      </c>
      <c r="BZ2" s="132" t="s">
        <v>245</v>
      </c>
      <c r="CA2" s="131" t="s">
        <v>229</v>
      </c>
      <c r="CB2" s="131" t="s">
        <v>230</v>
      </c>
      <c r="CC2" s="132" t="s">
        <v>233</v>
      </c>
      <c r="CD2" s="132" t="s">
        <v>252</v>
      </c>
      <c r="CE2" s="131" t="s">
        <v>274</v>
      </c>
      <c r="CF2" s="132" t="s">
        <v>224</v>
      </c>
      <c r="CG2" s="132" t="s">
        <v>226</v>
      </c>
      <c r="CH2" s="132" t="s">
        <v>255</v>
      </c>
      <c r="CI2" s="132" t="s">
        <v>118</v>
      </c>
      <c r="CJ2" s="132" t="s">
        <v>257</v>
      </c>
      <c r="CK2" s="132" t="s">
        <v>223</v>
      </c>
      <c r="CL2" s="132" t="s">
        <v>228</v>
      </c>
      <c r="CM2" s="132" t="s">
        <v>373</v>
      </c>
      <c r="CN2" s="132" t="s">
        <v>363</v>
      </c>
      <c r="CO2" s="132" t="s">
        <v>223</v>
      </c>
      <c r="CP2" s="132" t="s">
        <v>228</v>
      </c>
      <c r="CQ2" s="132"/>
      <c r="CR2" s="2" t="s">
        <v>51</v>
      </c>
    </row>
    <row r="3" spans="1:96">
      <c r="A3" s="72"/>
      <c r="B3" s="72"/>
      <c r="C3" s="68"/>
      <c r="D3" s="68"/>
      <c r="E3" s="68"/>
      <c r="F3" s="68"/>
      <c r="G3" s="63"/>
      <c r="H3" s="68"/>
      <c r="I3" s="68"/>
      <c r="J3" s="68"/>
      <c r="K3" s="68" t="s">
        <v>37</v>
      </c>
      <c r="L3" s="68" t="s">
        <v>0</v>
      </c>
      <c r="M3" s="68" t="s">
        <v>36</v>
      </c>
      <c r="N3" s="68" t="s">
        <v>86</v>
      </c>
      <c r="O3" s="63"/>
      <c r="P3" s="68"/>
      <c r="Q3" s="68"/>
      <c r="R3" s="68"/>
      <c r="S3" s="68"/>
      <c r="T3" s="63"/>
      <c r="U3" s="68" t="s">
        <v>2</v>
      </c>
      <c r="V3" s="68" t="s">
        <v>11</v>
      </c>
      <c r="W3" s="68" t="s">
        <v>2</v>
      </c>
      <c r="X3" s="63"/>
      <c r="Y3" s="68" t="s">
        <v>3</v>
      </c>
      <c r="Z3" s="68" t="s">
        <v>7</v>
      </c>
      <c r="AA3" s="68" t="s">
        <v>8</v>
      </c>
      <c r="AB3" s="68" t="s">
        <v>8</v>
      </c>
      <c r="AC3" s="68" t="s">
        <v>17</v>
      </c>
      <c r="AD3" s="63"/>
      <c r="AE3" s="68" t="s">
        <v>7</v>
      </c>
      <c r="AF3" s="68" t="s">
        <v>7</v>
      </c>
      <c r="AG3" s="68" t="s">
        <v>7</v>
      </c>
      <c r="AH3" s="68" t="s">
        <v>3</v>
      </c>
      <c r="AI3" s="68" t="s">
        <v>56</v>
      </c>
      <c r="AJ3" s="68" t="s">
        <v>9</v>
      </c>
      <c r="AK3" s="68" t="s">
        <v>9</v>
      </c>
      <c r="AL3" s="68" t="s">
        <v>7</v>
      </c>
      <c r="AM3" s="63"/>
      <c r="AN3" s="68" t="s">
        <v>9</v>
      </c>
      <c r="AO3" s="68" t="s">
        <v>160</v>
      </c>
      <c r="AP3" s="68" t="s">
        <v>8</v>
      </c>
      <c r="AQ3" s="63"/>
      <c r="AR3" s="68" t="s">
        <v>89</v>
      </c>
      <c r="AS3" s="68" t="s">
        <v>15</v>
      </c>
      <c r="AT3" s="68"/>
      <c r="AU3" s="68" t="s">
        <v>16</v>
      </c>
      <c r="AV3" s="63"/>
      <c r="AW3" s="68" t="s">
        <v>94</v>
      </c>
      <c r="AX3" s="68"/>
      <c r="AY3" s="68" t="s">
        <v>18</v>
      </c>
      <c r="AZ3" s="68"/>
      <c r="BA3" s="68" t="s">
        <v>18</v>
      </c>
      <c r="BB3" s="63"/>
      <c r="BC3" s="73"/>
      <c r="BD3" s="74"/>
      <c r="BE3" s="74"/>
      <c r="BF3" s="74"/>
      <c r="BG3" s="75"/>
      <c r="BH3" s="63"/>
      <c r="BI3" s="2" t="s">
        <v>51</v>
      </c>
      <c r="BJ3" s="133"/>
      <c r="BK3" s="131" t="s">
        <v>242</v>
      </c>
      <c r="BL3" s="131"/>
      <c r="BM3" s="131"/>
      <c r="BN3" s="131"/>
      <c r="BO3" s="131"/>
      <c r="BP3" s="131"/>
      <c r="BQ3" s="131" t="s">
        <v>219</v>
      </c>
      <c r="BR3" s="131" t="s">
        <v>217</v>
      </c>
      <c r="BS3" s="131" t="s">
        <v>258</v>
      </c>
      <c r="BT3" s="131" t="s">
        <v>222</v>
      </c>
      <c r="BU3" s="131" t="s">
        <v>232</v>
      </c>
      <c r="BV3" s="131" t="s">
        <v>234</v>
      </c>
      <c r="BW3" s="131" t="s">
        <v>235</v>
      </c>
      <c r="BX3" s="131" t="s">
        <v>236</v>
      </c>
      <c r="BY3" s="131" t="s">
        <v>236</v>
      </c>
      <c r="BZ3" s="131" t="s">
        <v>236</v>
      </c>
      <c r="CA3" s="131" t="s">
        <v>231</v>
      </c>
      <c r="CB3" s="131" t="s">
        <v>231</v>
      </c>
      <c r="CC3" s="131" t="s">
        <v>231</v>
      </c>
      <c r="CD3" s="131" t="s">
        <v>231</v>
      </c>
      <c r="CE3" s="131" t="s">
        <v>231</v>
      </c>
      <c r="CF3" s="131" t="s">
        <v>225</v>
      </c>
      <c r="CG3" s="131" t="s">
        <v>225</v>
      </c>
      <c r="CH3" s="131" t="s">
        <v>256</v>
      </c>
      <c r="CI3" s="131" t="s">
        <v>256</v>
      </c>
      <c r="CJ3" s="131" t="s">
        <v>272</v>
      </c>
      <c r="CK3" s="131" t="s">
        <v>249</v>
      </c>
      <c r="CL3" s="131" t="s">
        <v>251</v>
      </c>
      <c r="CM3" s="131" t="s">
        <v>374</v>
      </c>
      <c r="CN3" s="131" t="s">
        <v>364</v>
      </c>
      <c r="CO3" s="131" t="s">
        <v>249</v>
      </c>
      <c r="CP3" s="131" t="s">
        <v>251</v>
      </c>
      <c r="CQ3" s="131"/>
      <c r="CR3" s="2" t="s">
        <v>51</v>
      </c>
    </row>
    <row r="4" spans="1:96">
      <c r="A4" s="68"/>
      <c r="B4" s="68"/>
      <c r="C4" s="68"/>
      <c r="D4" s="68"/>
      <c r="E4" s="68"/>
      <c r="F4" s="68"/>
      <c r="G4" s="63"/>
      <c r="H4" s="68"/>
      <c r="I4" s="68"/>
      <c r="J4" s="68"/>
      <c r="K4" s="68"/>
      <c r="L4" s="68"/>
      <c r="M4" s="68"/>
      <c r="N4" s="68"/>
      <c r="O4" s="63"/>
      <c r="P4" s="68"/>
      <c r="Q4" s="68"/>
      <c r="R4" s="68"/>
      <c r="S4" s="68"/>
      <c r="T4" s="63"/>
      <c r="U4" s="68"/>
      <c r="V4" s="68"/>
      <c r="W4" s="68"/>
      <c r="X4" s="63"/>
      <c r="Y4" s="68"/>
      <c r="Z4" s="68"/>
      <c r="AA4" s="68"/>
      <c r="AB4" s="68"/>
      <c r="AC4" s="68"/>
      <c r="AD4" s="63"/>
      <c r="AE4" s="68"/>
      <c r="AF4" s="68"/>
      <c r="AG4" s="68"/>
      <c r="AH4" s="68"/>
      <c r="AI4" s="68"/>
      <c r="AJ4" s="68"/>
      <c r="AK4" s="68"/>
      <c r="AL4" s="68"/>
      <c r="AM4" s="63"/>
      <c r="AN4" s="68"/>
      <c r="AO4" s="68"/>
      <c r="AP4" s="68"/>
      <c r="AQ4" s="63"/>
      <c r="AR4" s="68"/>
      <c r="AS4" s="68"/>
      <c r="AT4" s="68"/>
      <c r="AU4" s="68"/>
      <c r="AV4" s="63"/>
      <c r="AW4" s="68"/>
      <c r="AX4" s="68"/>
      <c r="AY4" s="68"/>
      <c r="AZ4" s="68"/>
      <c r="BA4" s="68"/>
      <c r="BB4" s="63"/>
      <c r="BC4" s="68"/>
      <c r="BD4" s="68"/>
      <c r="BE4" s="68"/>
      <c r="BF4" s="68"/>
      <c r="BG4" s="68"/>
      <c r="BH4" s="63"/>
      <c r="BI4" s="2" t="s">
        <v>51</v>
      </c>
      <c r="BJ4" s="133"/>
      <c r="BK4" s="131"/>
      <c r="BL4" s="131"/>
      <c r="BM4" s="131"/>
      <c r="BN4" s="131"/>
      <c r="BO4" s="131"/>
      <c r="BP4" s="131"/>
      <c r="BQ4" s="131"/>
      <c r="BR4" s="131"/>
      <c r="BS4" s="131"/>
      <c r="BT4" s="131"/>
      <c r="BU4" s="131"/>
      <c r="BV4" s="131"/>
      <c r="BW4" s="131"/>
      <c r="BX4" s="131"/>
      <c r="BY4" s="131"/>
      <c r="BZ4" s="131"/>
      <c r="CA4" s="131"/>
      <c r="CB4" s="131"/>
      <c r="CC4" s="131"/>
      <c r="CD4" s="131"/>
      <c r="CE4" s="131"/>
      <c r="CF4" s="131"/>
      <c r="CG4" s="131"/>
      <c r="CH4" s="131"/>
      <c r="CI4" s="131"/>
      <c r="CJ4" s="131"/>
      <c r="CK4" s="131"/>
      <c r="CL4" s="131"/>
      <c r="CM4" s="131"/>
      <c r="CN4" s="131"/>
      <c r="CO4" s="131"/>
      <c r="CP4" s="131"/>
      <c r="CQ4" s="131"/>
      <c r="CR4" s="2" t="s">
        <v>51</v>
      </c>
    </row>
    <row r="5" spans="1:96">
      <c r="A5" s="78"/>
      <c r="B5" s="78"/>
      <c r="C5" s="76"/>
      <c r="D5" s="76"/>
      <c r="E5" s="76"/>
      <c r="F5" s="76"/>
      <c r="G5" s="77"/>
      <c r="H5" s="76" t="s">
        <v>259</v>
      </c>
      <c r="I5" s="76" t="s">
        <v>295</v>
      </c>
      <c r="J5" s="76"/>
      <c r="K5" s="76"/>
      <c r="L5" s="76">
        <v>20</v>
      </c>
      <c r="M5" s="76"/>
      <c r="N5" s="76" t="s">
        <v>259</v>
      </c>
      <c r="O5" s="77"/>
      <c r="P5" s="76" t="s">
        <v>260</v>
      </c>
      <c r="Q5" s="76" t="s">
        <v>260</v>
      </c>
      <c r="R5" s="76" t="s">
        <v>260</v>
      </c>
      <c r="S5" s="76"/>
      <c r="T5" s="77"/>
      <c r="U5" s="76">
        <v>50</v>
      </c>
      <c r="V5" s="76">
        <v>10</v>
      </c>
      <c r="W5" s="76">
        <v>10</v>
      </c>
      <c r="X5" s="77"/>
      <c r="Y5" s="76"/>
      <c r="Z5" s="76"/>
      <c r="AA5" s="76">
        <v>2</v>
      </c>
      <c r="AB5" s="76">
        <v>1</v>
      </c>
      <c r="AC5" s="76"/>
      <c r="AD5" s="77"/>
      <c r="AE5" s="76">
        <v>1</v>
      </c>
      <c r="AF5" s="76">
        <v>2</v>
      </c>
      <c r="AG5" s="76">
        <v>3</v>
      </c>
      <c r="AH5" s="76"/>
      <c r="AI5" s="76"/>
      <c r="AJ5" s="76"/>
      <c r="AK5" s="76">
        <v>1</v>
      </c>
      <c r="AL5" s="76">
        <v>1</v>
      </c>
      <c r="AM5" s="77"/>
      <c r="AN5" s="76">
        <v>2</v>
      </c>
      <c r="AO5" s="76">
        <v>1</v>
      </c>
      <c r="AP5" s="76">
        <v>1</v>
      </c>
      <c r="AQ5" s="77"/>
      <c r="AR5" s="76" t="s">
        <v>365</v>
      </c>
      <c r="AS5" s="76">
        <v>150</v>
      </c>
      <c r="AT5" s="76" t="s">
        <v>366</v>
      </c>
      <c r="AU5" s="76"/>
      <c r="AV5" s="77"/>
      <c r="AW5" s="76"/>
      <c r="AX5" s="76"/>
      <c r="AY5" s="76"/>
      <c r="AZ5" s="76"/>
      <c r="BA5" s="76"/>
      <c r="BB5" s="77"/>
      <c r="BC5" s="76"/>
      <c r="BD5" s="76"/>
      <c r="BE5" s="76"/>
      <c r="BF5" s="76"/>
      <c r="BG5" s="76"/>
      <c r="BH5" s="77"/>
      <c r="BI5" s="2" t="s">
        <v>51</v>
      </c>
      <c r="BJ5" s="127"/>
      <c r="BK5" s="127">
        <v>20</v>
      </c>
      <c r="BL5" s="127" t="s">
        <v>259</v>
      </c>
      <c r="BM5" s="127" t="s">
        <v>260</v>
      </c>
      <c r="BN5" s="127" t="s">
        <v>260</v>
      </c>
      <c r="BO5" s="127" t="s">
        <v>260</v>
      </c>
      <c r="BP5" s="127"/>
      <c r="BQ5" s="129">
        <v>50</v>
      </c>
      <c r="BR5" s="130">
        <v>84</v>
      </c>
      <c r="BS5" s="129">
        <v>37.5</v>
      </c>
      <c r="BT5" s="129">
        <v>21</v>
      </c>
      <c r="BU5" s="127">
        <v>32</v>
      </c>
      <c r="BV5" s="127">
        <v>10</v>
      </c>
      <c r="BW5" s="127">
        <v>3</v>
      </c>
      <c r="BX5" s="127">
        <v>7</v>
      </c>
      <c r="BY5" s="127">
        <v>2</v>
      </c>
      <c r="BZ5" s="127">
        <v>3</v>
      </c>
      <c r="CA5" s="127">
        <v>8</v>
      </c>
      <c r="CB5" s="128">
        <v>2.2000000476837158</v>
      </c>
      <c r="CC5" s="128">
        <v>1.6100000143051147</v>
      </c>
      <c r="CD5" s="128">
        <v>0.90499997138977051</v>
      </c>
      <c r="CE5" s="128">
        <v>40.049999237060547</v>
      </c>
      <c r="CF5" s="128">
        <v>13.500000953674316</v>
      </c>
      <c r="CG5" s="128">
        <v>9.6000003814697266</v>
      </c>
      <c r="CH5" s="128">
        <v>5.0199999809265137</v>
      </c>
      <c r="CI5" s="128">
        <v>22.25</v>
      </c>
      <c r="CJ5" s="128"/>
      <c r="CK5" s="129">
        <v>7.2567996978759766</v>
      </c>
      <c r="CL5" s="129">
        <v>70.251998901367188</v>
      </c>
      <c r="CM5" s="129">
        <v>77.199996948242188</v>
      </c>
      <c r="CN5" s="127">
        <v>50</v>
      </c>
      <c r="CO5" s="127"/>
      <c r="CP5" s="127"/>
      <c r="CQ5" s="127"/>
      <c r="CR5" s="2" t="s">
        <v>51</v>
      </c>
    </row>
    <row r="6" spans="1:96">
      <c r="A6" s="78"/>
      <c r="B6" s="80"/>
      <c r="C6" s="76"/>
      <c r="D6" s="76"/>
      <c r="E6" s="76"/>
      <c r="F6" s="76"/>
      <c r="G6" s="77"/>
      <c r="H6" s="76" t="s">
        <v>294</v>
      </c>
      <c r="I6" s="76"/>
      <c r="J6" s="76"/>
      <c r="K6" s="76"/>
      <c r="L6" s="76">
        <v>25</v>
      </c>
      <c r="M6" s="76"/>
      <c r="N6" s="76" t="s">
        <v>259</v>
      </c>
      <c r="O6" s="77"/>
      <c r="P6" s="76" t="s">
        <v>261</v>
      </c>
      <c r="Q6" s="76" t="s">
        <v>262</v>
      </c>
      <c r="R6" s="76" t="s">
        <v>263</v>
      </c>
      <c r="S6" s="76"/>
      <c r="T6" s="77"/>
      <c r="U6" s="76">
        <v>40</v>
      </c>
      <c r="V6" s="76">
        <v>1</v>
      </c>
      <c r="W6" s="76">
        <v>100</v>
      </c>
      <c r="X6" s="77"/>
      <c r="Y6" s="76">
        <v>15</v>
      </c>
      <c r="Z6" s="76">
        <v>2</v>
      </c>
      <c r="AA6" s="76">
        <v>1</v>
      </c>
      <c r="AB6" s="76"/>
      <c r="AC6" s="76"/>
      <c r="AD6" s="77"/>
      <c r="AE6" s="76"/>
      <c r="AF6" s="76">
        <v>3</v>
      </c>
      <c r="AG6" s="76">
        <v>1</v>
      </c>
      <c r="AH6" s="76"/>
      <c r="AI6" s="76"/>
      <c r="AJ6" s="76"/>
      <c r="AK6" s="76">
        <v>2</v>
      </c>
      <c r="AL6" s="76">
        <v>3</v>
      </c>
      <c r="AM6" s="77"/>
      <c r="AN6" s="76">
        <v>1</v>
      </c>
      <c r="AO6" s="76">
        <v>1</v>
      </c>
      <c r="AP6" s="76">
        <v>2</v>
      </c>
      <c r="AQ6" s="77"/>
      <c r="AR6" s="76" t="s">
        <v>367</v>
      </c>
      <c r="AS6" s="76">
        <v>120</v>
      </c>
      <c r="AT6" s="76" t="s">
        <v>368</v>
      </c>
      <c r="AU6" s="76"/>
      <c r="AV6" s="77"/>
      <c r="AW6" s="76"/>
      <c r="AX6" s="76"/>
      <c r="AY6" s="76"/>
      <c r="AZ6" s="76"/>
      <c r="BA6" s="76"/>
      <c r="BB6" s="77"/>
      <c r="BC6" s="76"/>
      <c r="BD6" s="76"/>
      <c r="BE6" s="76"/>
      <c r="BF6" s="76"/>
      <c r="BG6" s="76"/>
      <c r="BH6" s="77"/>
      <c r="BI6" s="2" t="s">
        <v>51</v>
      </c>
      <c r="BJ6" s="127"/>
      <c r="BK6" s="127">
        <v>25</v>
      </c>
      <c r="BL6" s="127" t="s">
        <v>259</v>
      </c>
      <c r="BM6" s="127" t="s">
        <v>261</v>
      </c>
      <c r="BN6" s="127" t="s">
        <v>262</v>
      </c>
      <c r="BO6" s="127" t="s">
        <v>263</v>
      </c>
      <c r="BP6" s="127"/>
      <c r="BQ6" s="129">
        <v>40</v>
      </c>
      <c r="BR6" s="130">
        <v>130.80000305175781</v>
      </c>
      <c r="BS6" s="129">
        <v>40</v>
      </c>
      <c r="BT6" s="129">
        <v>51</v>
      </c>
      <c r="BU6" s="127">
        <v>58</v>
      </c>
      <c r="BV6" s="127">
        <v>24</v>
      </c>
      <c r="BW6" s="127">
        <v>1</v>
      </c>
      <c r="BX6" s="127">
        <v>6</v>
      </c>
      <c r="BY6" s="127">
        <v>1</v>
      </c>
      <c r="BZ6" s="127">
        <v>6</v>
      </c>
      <c r="CA6" s="127">
        <v>19.600000381469727</v>
      </c>
      <c r="CB6" s="128">
        <v>41.759998321533203</v>
      </c>
      <c r="CC6" s="128">
        <v>10.392000198364258</v>
      </c>
      <c r="CD6" s="128">
        <v>1.2539999485015869</v>
      </c>
      <c r="CE6" s="128">
        <v>110.39999389648437</v>
      </c>
      <c r="CF6" s="128">
        <v>13.600000381469727</v>
      </c>
      <c r="CG6" s="128">
        <v>34.800003051757813</v>
      </c>
      <c r="CH6" s="128">
        <v>4.6999998092651367</v>
      </c>
      <c r="CI6" s="128">
        <v>49.685001373291016</v>
      </c>
      <c r="CJ6" s="128"/>
      <c r="CK6" s="129">
        <v>8.5</v>
      </c>
      <c r="CL6" s="129">
        <v>86.699996948242188</v>
      </c>
      <c r="CM6" s="129">
        <v>85</v>
      </c>
      <c r="CN6" s="127">
        <v>50</v>
      </c>
      <c r="CO6" s="127"/>
      <c r="CP6" s="127"/>
      <c r="CQ6" s="127"/>
      <c r="CR6" s="2" t="s">
        <v>51</v>
      </c>
    </row>
    <row r="7" spans="1:96">
      <c r="A7" s="78"/>
      <c r="B7" s="78"/>
      <c r="C7" s="76"/>
      <c r="D7" s="76"/>
      <c r="E7" s="76"/>
      <c r="F7" s="76"/>
      <c r="G7" s="77"/>
      <c r="H7" s="76"/>
      <c r="I7" s="76" t="s">
        <v>295</v>
      </c>
      <c r="J7" s="76"/>
      <c r="K7" s="76"/>
      <c r="L7" s="76">
        <v>40</v>
      </c>
      <c r="M7" s="76"/>
      <c r="N7" s="76" t="s">
        <v>264</v>
      </c>
      <c r="O7" s="77"/>
      <c r="P7" s="76" t="s">
        <v>265</v>
      </c>
      <c r="Q7" s="76" t="s">
        <v>266</v>
      </c>
      <c r="R7" s="76" t="s">
        <v>266</v>
      </c>
      <c r="S7" s="76"/>
      <c r="T7" s="77"/>
      <c r="U7" s="76">
        <v>100</v>
      </c>
      <c r="V7" s="76">
        <v>150</v>
      </c>
      <c r="W7" s="76">
        <v>150</v>
      </c>
      <c r="X7" s="77"/>
      <c r="Y7" s="76">
        <v>105</v>
      </c>
      <c r="Z7" s="76">
        <v>15</v>
      </c>
      <c r="AA7" s="76">
        <v>8</v>
      </c>
      <c r="AB7" s="76">
        <v>3</v>
      </c>
      <c r="AC7" s="76"/>
      <c r="AD7" s="77"/>
      <c r="AE7" s="76"/>
      <c r="AF7" s="76"/>
      <c r="AG7" s="76">
        <v>2</v>
      </c>
      <c r="AH7" s="76"/>
      <c r="AI7" s="76"/>
      <c r="AJ7" s="76"/>
      <c r="AK7" s="76"/>
      <c r="AL7" s="76"/>
      <c r="AM7" s="77"/>
      <c r="AN7" s="76"/>
      <c r="AO7" s="76"/>
      <c r="AP7" s="76"/>
      <c r="AQ7" s="77"/>
      <c r="AR7" s="76"/>
      <c r="AS7" s="76"/>
      <c r="AT7" s="76"/>
      <c r="AU7" s="76"/>
      <c r="AV7" s="77"/>
      <c r="AW7" s="76"/>
      <c r="AX7" s="76"/>
      <c r="AY7" s="76"/>
      <c r="AZ7" s="76"/>
      <c r="BA7" s="76"/>
      <c r="BB7" s="77"/>
      <c r="BC7" s="76"/>
      <c r="BD7" s="76"/>
      <c r="BE7" s="76"/>
      <c r="BF7" s="76"/>
      <c r="BG7" s="76"/>
      <c r="BH7" s="77"/>
      <c r="BI7" s="2" t="s">
        <v>93</v>
      </c>
      <c r="BJ7" s="127"/>
      <c r="BK7" s="127">
        <v>40</v>
      </c>
      <c r="BL7" s="127" t="s">
        <v>264</v>
      </c>
      <c r="BM7" s="127" t="s">
        <v>265</v>
      </c>
      <c r="BN7" s="127" t="s">
        <v>266</v>
      </c>
      <c r="BO7" s="127" t="s">
        <v>266</v>
      </c>
      <c r="BP7" s="127"/>
      <c r="BQ7" s="129">
        <v>100</v>
      </c>
      <c r="BR7" s="130">
        <v>410</v>
      </c>
      <c r="BS7" s="129">
        <v>150</v>
      </c>
      <c r="BT7" s="129">
        <v>90</v>
      </c>
      <c r="BU7" s="127">
        <v>109</v>
      </c>
      <c r="BV7" s="127">
        <v>15</v>
      </c>
      <c r="BW7" s="127">
        <v>11</v>
      </c>
      <c r="BX7" s="127">
        <v>2</v>
      </c>
      <c r="BY7" s="127"/>
      <c r="BZ7" s="127"/>
      <c r="CA7" s="127">
        <v>337</v>
      </c>
      <c r="CB7" s="128">
        <v>143.43000793457031</v>
      </c>
      <c r="CC7" s="128">
        <v>19.440000534057617</v>
      </c>
      <c r="CD7" s="128">
        <v>30.384000778198242</v>
      </c>
      <c r="CE7" s="128">
        <v>44.400001525878906</v>
      </c>
      <c r="CF7" s="128">
        <v>39</v>
      </c>
      <c r="CG7" s="128">
        <v>42.509998321533203</v>
      </c>
      <c r="CH7" s="128">
        <v>1.3400000333786011</v>
      </c>
      <c r="CI7" s="128">
        <v>96.200004577636719</v>
      </c>
      <c r="CJ7" s="128"/>
      <c r="CK7" s="129"/>
      <c r="CL7" s="129"/>
      <c r="CM7" s="129"/>
      <c r="CN7" s="127"/>
      <c r="CO7" s="127"/>
      <c r="CP7" s="127"/>
      <c r="CQ7" s="127"/>
      <c r="CR7" s="2" t="s">
        <v>80</v>
      </c>
    </row>
    <row r="8" spans="1:96">
      <c r="A8" s="78"/>
      <c r="B8" s="78"/>
      <c r="C8" s="76"/>
      <c r="D8" s="76"/>
      <c r="E8" s="76"/>
      <c r="F8" s="76"/>
      <c r="G8" s="77"/>
      <c r="H8" s="76" t="s">
        <v>296</v>
      </c>
      <c r="I8" s="76" t="s">
        <v>294</v>
      </c>
      <c r="J8" s="76"/>
      <c r="K8" s="76"/>
      <c r="L8" s="76">
        <v>50</v>
      </c>
      <c r="M8" s="76"/>
      <c r="N8" s="76" t="s">
        <v>259</v>
      </c>
      <c r="O8" s="77"/>
      <c r="P8" s="76" t="s">
        <v>267</v>
      </c>
      <c r="Q8" s="76" t="s">
        <v>262</v>
      </c>
      <c r="R8" s="76" t="s">
        <v>262</v>
      </c>
      <c r="S8" s="76"/>
      <c r="T8" s="77"/>
      <c r="U8" s="76">
        <v>25</v>
      </c>
      <c r="V8" s="76">
        <v>25</v>
      </c>
      <c r="W8" s="76">
        <v>5</v>
      </c>
      <c r="X8" s="77"/>
      <c r="Y8" s="76"/>
      <c r="Z8" s="76"/>
      <c r="AA8" s="76">
        <v>2</v>
      </c>
      <c r="AB8" s="76"/>
      <c r="AC8" s="76"/>
      <c r="AD8" s="77"/>
      <c r="AE8" s="76"/>
      <c r="AF8" s="76"/>
      <c r="AG8" s="76"/>
      <c r="AH8" s="76"/>
      <c r="AI8" s="76"/>
      <c r="AJ8" s="76"/>
      <c r="AK8" s="76"/>
      <c r="AL8" s="76"/>
      <c r="AM8" s="77"/>
      <c r="AN8" s="76">
        <v>2</v>
      </c>
      <c r="AO8" s="76">
        <v>1</v>
      </c>
      <c r="AP8" s="76"/>
      <c r="AQ8" s="77"/>
      <c r="AR8" s="76"/>
      <c r="AS8" s="76"/>
      <c r="AT8" s="76"/>
      <c r="AU8" s="76"/>
      <c r="AV8" s="77"/>
      <c r="AW8" s="76"/>
      <c r="AX8" s="76"/>
      <c r="AY8" s="76"/>
      <c r="AZ8" s="76"/>
      <c r="BA8" s="76"/>
      <c r="BB8" s="77"/>
      <c r="BC8" s="76"/>
      <c r="BD8" s="76"/>
      <c r="BE8" s="76"/>
      <c r="BF8" s="76"/>
      <c r="BG8" s="76"/>
      <c r="BH8" s="77"/>
      <c r="BI8" s="2" t="s">
        <v>93</v>
      </c>
      <c r="BJ8" s="127"/>
      <c r="BK8" s="127">
        <v>50</v>
      </c>
      <c r="BL8" s="127" t="s">
        <v>259</v>
      </c>
      <c r="BM8" s="127" t="s">
        <v>267</v>
      </c>
      <c r="BN8" s="127" t="s">
        <v>262</v>
      </c>
      <c r="BO8" s="127" t="s">
        <v>262</v>
      </c>
      <c r="BP8" s="127"/>
      <c r="BQ8" s="129">
        <v>25</v>
      </c>
      <c r="BR8" s="130">
        <v>136</v>
      </c>
      <c r="BS8" s="129">
        <v>50</v>
      </c>
      <c r="BT8" s="129">
        <v>84</v>
      </c>
      <c r="BU8" s="127">
        <v>31</v>
      </c>
      <c r="BV8" s="127">
        <v>18</v>
      </c>
      <c r="BW8" s="127">
        <v>2</v>
      </c>
      <c r="BX8" s="127"/>
      <c r="BY8" s="127">
        <v>2</v>
      </c>
      <c r="BZ8" s="127">
        <v>1</v>
      </c>
      <c r="CA8" s="127">
        <v>17.5</v>
      </c>
      <c r="CB8" s="128">
        <v>47.25</v>
      </c>
      <c r="CC8" s="128">
        <v>7.7940001487731934</v>
      </c>
      <c r="CD8" s="128">
        <v>2.0639998912811279</v>
      </c>
      <c r="CE8" s="128"/>
      <c r="CF8" s="128">
        <v>9.5</v>
      </c>
      <c r="CG8" s="128">
        <v>27.899999618530273</v>
      </c>
      <c r="CH8" s="128">
        <v>4.0500001907348633</v>
      </c>
      <c r="CI8" s="128">
        <v>39.792999267578125</v>
      </c>
      <c r="CJ8" s="128"/>
      <c r="CK8" s="129"/>
      <c r="CL8" s="129"/>
      <c r="CM8" s="129"/>
      <c r="CN8" s="127"/>
      <c r="CO8" s="127"/>
      <c r="CP8" s="127"/>
      <c r="CQ8" s="127"/>
      <c r="CR8" s="2" t="s">
        <v>80</v>
      </c>
    </row>
    <row r="9" spans="1:96">
      <c r="A9" s="78"/>
      <c r="B9" s="80"/>
      <c r="C9" s="76"/>
      <c r="D9" s="76"/>
      <c r="E9" s="76"/>
      <c r="F9" s="76"/>
      <c r="G9" s="77"/>
      <c r="H9" s="76" t="s">
        <v>359</v>
      </c>
      <c r="I9" s="76"/>
      <c r="J9" s="76"/>
      <c r="K9" s="76"/>
      <c r="L9" s="76">
        <v>40</v>
      </c>
      <c r="M9" s="76"/>
      <c r="N9" s="76"/>
      <c r="O9" s="77"/>
      <c r="P9" s="76" t="s">
        <v>360</v>
      </c>
      <c r="Q9" s="76" t="s">
        <v>375</v>
      </c>
      <c r="R9" s="76"/>
      <c r="S9" s="76"/>
      <c r="T9" s="77"/>
      <c r="U9" s="76">
        <v>50</v>
      </c>
      <c r="V9" s="76"/>
      <c r="W9" s="76"/>
      <c r="X9" s="77"/>
      <c r="Y9" s="76">
        <v>3</v>
      </c>
      <c r="Z9" s="76">
        <v>5</v>
      </c>
      <c r="AA9" s="76">
        <v>2</v>
      </c>
      <c r="AB9" s="76">
        <v>2</v>
      </c>
      <c r="AC9" s="76"/>
      <c r="AD9" s="77"/>
      <c r="AE9" s="76"/>
      <c r="AF9" s="76"/>
      <c r="AG9" s="76"/>
      <c r="AH9" s="76"/>
      <c r="AI9" s="76"/>
      <c r="AJ9" s="76"/>
      <c r="AK9" s="76"/>
      <c r="AL9" s="76"/>
      <c r="AM9" s="77"/>
      <c r="AN9" s="76"/>
      <c r="AO9" s="76"/>
      <c r="AP9" s="76"/>
      <c r="AQ9" s="77"/>
      <c r="AR9" s="76" t="s">
        <v>369</v>
      </c>
      <c r="AS9" s="76">
        <v>-20</v>
      </c>
      <c r="AT9" s="76" t="s">
        <v>370</v>
      </c>
      <c r="AU9" s="76"/>
      <c r="AV9" s="77"/>
      <c r="AW9" s="76"/>
      <c r="AX9" s="76"/>
      <c r="AY9" s="76"/>
      <c r="AZ9" s="76"/>
      <c r="BA9" s="76"/>
      <c r="BB9" s="77"/>
      <c r="BC9" s="76"/>
      <c r="BD9" s="76"/>
      <c r="BE9" s="76"/>
      <c r="BF9" s="76"/>
      <c r="BG9" s="76"/>
      <c r="BH9" s="77"/>
      <c r="BI9" s="2" t="s">
        <v>93</v>
      </c>
      <c r="BJ9" s="127"/>
      <c r="BK9" s="127">
        <v>40</v>
      </c>
      <c r="BL9" s="127"/>
      <c r="BM9" s="127" t="s">
        <v>362</v>
      </c>
      <c r="BN9" s="127" t="s">
        <v>362</v>
      </c>
      <c r="BO9" s="127"/>
      <c r="BP9" s="127"/>
      <c r="BQ9" s="129">
        <v>50</v>
      </c>
      <c r="BR9" s="130">
        <v>194.5</v>
      </c>
      <c r="BS9" s="129">
        <v>75</v>
      </c>
      <c r="BT9" s="129"/>
      <c r="BU9" s="127">
        <v>50</v>
      </c>
      <c r="BV9" s="127">
        <v>35</v>
      </c>
      <c r="BW9" s="127">
        <v>4</v>
      </c>
      <c r="BX9" s="127"/>
      <c r="BY9" s="127"/>
      <c r="BZ9" s="127"/>
      <c r="CA9" s="127">
        <v>360</v>
      </c>
      <c r="CB9" s="128"/>
      <c r="CC9" s="128">
        <v>117.59999847412109</v>
      </c>
      <c r="CD9" s="128">
        <v>24.120000839233398</v>
      </c>
      <c r="CE9" s="128"/>
      <c r="CF9" s="128">
        <v>46.5</v>
      </c>
      <c r="CG9" s="128">
        <v>58.499996185302734</v>
      </c>
      <c r="CH9" s="128"/>
      <c r="CI9" s="128"/>
      <c r="CJ9" s="127"/>
      <c r="CK9" s="129">
        <v>11.845000267028809</v>
      </c>
      <c r="CL9" s="129">
        <v>436.719970703125</v>
      </c>
      <c r="CM9" s="129">
        <v>103</v>
      </c>
      <c r="CN9" s="127">
        <v>40</v>
      </c>
      <c r="CO9" s="127"/>
      <c r="CP9" s="127"/>
      <c r="CQ9" s="127"/>
      <c r="CR9" s="2" t="s">
        <v>80</v>
      </c>
    </row>
    <row r="10" spans="1:96">
      <c r="A10" s="78"/>
      <c r="B10" s="80"/>
      <c r="C10" s="76"/>
      <c r="D10" s="76"/>
      <c r="E10" s="76"/>
      <c r="F10" s="76"/>
      <c r="G10" s="77"/>
      <c r="H10" s="76" t="s">
        <v>371</v>
      </c>
      <c r="I10" s="76"/>
      <c r="J10" s="76"/>
      <c r="K10" s="76"/>
      <c r="L10" s="76">
        <v>50</v>
      </c>
      <c r="M10" s="76"/>
      <c r="N10" s="76"/>
      <c r="O10" s="77"/>
      <c r="P10" s="76"/>
      <c r="Q10" s="76"/>
      <c r="R10" s="76"/>
      <c r="S10" s="76"/>
      <c r="T10" s="77"/>
      <c r="U10" s="76">
        <v>-100</v>
      </c>
      <c r="V10" s="76"/>
      <c r="W10" s="76"/>
      <c r="X10" s="77"/>
      <c r="Y10" s="76">
        <v>10</v>
      </c>
      <c r="Z10" s="76">
        <v>20</v>
      </c>
      <c r="AA10" s="76"/>
      <c r="AB10" s="76"/>
      <c r="AC10" s="76"/>
      <c r="AD10" s="77"/>
      <c r="AE10" s="76">
        <v>1</v>
      </c>
      <c r="AF10" s="76">
        <v>2</v>
      </c>
      <c r="AG10" s="76">
        <v>3</v>
      </c>
      <c r="AH10" s="76">
        <v>4</v>
      </c>
      <c r="AI10" s="76">
        <v>5</v>
      </c>
      <c r="AJ10" s="76">
        <v>5</v>
      </c>
      <c r="AK10" s="76">
        <v>7</v>
      </c>
      <c r="AL10" s="76">
        <v>8</v>
      </c>
      <c r="AM10" s="77"/>
      <c r="AN10" s="76">
        <v>9</v>
      </c>
      <c r="AO10" s="76">
        <v>10</v>
      </c>
      <c r="AP10" s="76">
        <v>11</v>
      </c>
      <c r="AQ10" s="77"/>
      <c r="AR10" s="76" t="s">
        <v>367</v>
      </c>
      <c r="AS10" s="76">
        <v>200</v>
      </c>
      <c r="AT10" s="76" t="s">
        <v>372</v>
      </c>
      <c r="AU10" s="76"/>
      <c r="AV10" s="77"/>
      <c r="AW10" s="76"/>
      <c r="AX10" s="76"/>
      <c r="AY10" s="76"/>
      <c r="AZ10" s="76"/>
      <c r="BA10" s="76"/>
      <c r="BB10" s="77"/>
      <c r="BC10" s="76"/>
      <c r="BD10" s="76"/>
      <c r="BE10" s="76"/>
      <c r="BF10" s="76"/>
      <c r="BG10" s="76"/>
      <c r="BH10" s="77"/>
      <c r="BI10" s="2" t="s">
        <v>93</v>
      </c>
      <c r="BJ10" s="127"/>
      <c r="BK10" s="127">
        <v>50</v>
      </c>
      <c r="BL10" s="127"/>
      <c r="BM10" s="127"/>
      <c r="BN10" s="127"/>
      <c r="BO10" s="127"/>
      <c r="BP10" s="127"/>
      <c r="BQ10" s="129">
        <v>100</v>
      </c>
      <c r="BR10" s="130"/>
      <c r="BS10" s="129"/>
      <c r="BT10" s="129"/>
      <c r="BU10" s="127"/>
      <c r="BV10" s="127"/>
      <c r="BW10" s="127"/>
      <c r="BX10" s="127">
        <v>5</v>
      </c>
      <c r="BY10" s="127">
        <v>9</v>
      </c>
      <c r="BZ10" s="127">
        <v>29</v>
      </c>
      <c r="CA10" s="127"/>
      <c r="CB10" s="128"/>
      <c r="CC10" s="128"/>
      <c r="CD10" s="128"/>
      <c r="CE10" s="128"/>
      <c r="CF10" s="128"/>
      <c r="CG10" s="128"/>
      <c r="CH10" s="128"/>
      <c r="CI10" s="128"/>
      <c r="CJ10" s="127"/>
      <c r="CK10" s="129">
        <v>19.781600952148438</v>
      </c>
      <c r="CL10" s="129">
        <v>250.39999389648437</v>
      </c>
      <c r="CM10" s="129">
        <v>125.19999694824219</v>
      </c>
      <c r="CN10" s="127">
        <v>75</v>
      </c>
      <c r="CO10" s="127"/>
      <c r="CP10" s="127"/>
      <c r="CQ10" s="127"/>
      <c r="CR10" s="2" t="s">
        <v>80</v>
      </c>
    </row>
    <row r="11" spans="1:96">
      <c r="A11" s="81"/>
      <c r="B11" s="81"/>
      <c r="C11" s="76"/>
      <c r="D11" s="76"/>
      <c r="E11" s="76"/>
      <c r="F11" s="76"/>
      <c r="G11" s="77"/>
      <c r="H11" s="76"/>
      <c r="I11" s="76"/>
      <c r="J11" s="76"/>
      <c r="K11" s="76"/>
      <c r="L11" s="76"/>
      <c r="M11" s="76"/>
      <c r="N11" s="76"/>
      <c r="O11" s="77"/>
      <c r="P11" s="76"/>
      <c r="Q11" s="76"/>
      <c r="R11" s="76"/>
      <c r="S11" s="76"/>
      <c r="T11" s="77"/>
      <c r="U11" s="76"/>
      <c r="V11" s="76"/>
      <c r="W11" s="76"/>
      <c r="X11" s="77"/>
      <c r="Y11" s="76"/>
      <c r="Z11" s="76"/>
      <c r="AA11" s="76"/>
      <c r="AB11" s="76"/>
      <c r="AC11" s="76"/>
      <c r="AD11" s="77"/>
      <c r="AE11" s="76"/>
      <c r="AF11" s="76"/>
      <c r="AG11" s="76"/>
      <c r="AH11" s="76"/>
      <c r="AI11" s="76"/>
      <c r="AJ11" s="76"/>
      <c r="AK11" s="76"/>
      <c r="AL11" s="76"/>
      <c r="AM11" s="77"/>
      <c r="AN11" s="76"/>
      <c r="AO11" s="76"/>
      <c r="AP11" s="76"/>
      <c r="AQ11" s="77"/>
      <c r="AR11" s="76"/>
      <c r="AS11" s="76"/>
      <c r="AT11" s="76"/>
      <c r="AU11" s="76"/>
      <c r="AV11" s="77"/>
      <c r="AW11" s="76"/>
      <c r="AX11" s="76"/>
      <c r="AY11" s="76"/>
      <c r="AZ11" s="76"/>
      <c r="BA11" s="76"/>
      <c r="BB11" s="77"/>
      <c r="BC11" s="76"/>
      <c r="BD11" s="76"/>
      <c r="BE11" s="76"/>
      <c r="BF11" s="76"/>
      <c r="BG11" s="76"/>
      <c r="BH11" s="77"/>
      <c r="BI11" s="2" t="s">
        <v>93</v>
      </c>
      <c r="BJ11" s="127"/>
      <c r="BK11" s="127"/>
      <c r="BL11" s="127"/>
      <c r="BM11" s="127"/>
      <c r="BN11" s="127"/>
      <c r="BO11" s="127"/>
      <c r="BP11" s="127"/>
      <c r="BQ11" s="129"/>
      <c r="BR11" s="130"/>
      <c r="BS11" s="129"/>
      <c r="BT11" s="129"/>
      <c r="BU11" s="127"/>
      <c r="BV11" s="127"/>
      <c r="BW11" s="127"/>
      <c r="BX11" s="127"/>
      <c r="BY11" s="127"/>
      <c r="BZ11" s="127"/>
      <c r="CA11" s="127"/>
      <c r="CB11" s="128"/>
      <c r="CC11" s="128"/>
      <c r="CD11" s="128"/>
      <c r="CE11" s="128"/>
      <c r="CF11" s="128"/>
      <c r="CG11" s="128"/>
      <c r="CH11" s="128"/>
      <c r="CI11" s="128"/>
      <c r="CJ11" s="127"/>
      <c r="CK11" s="129"/>
      <c r="CL11" s="129"/>
      <c r="CM11" s="129"/>
      <c r="CN11" s="127"/>
      <c r="CO11" s="127"/>
      <c r="CP11" s="127"/>
      <c r="CQ11" s="127"/>
      <c r="CR11" s="2" t="s">
        <v>80</v>
      </c>
    </row>
    <row r="12" spans="1:96">
      <c r="A12" s="81"/>
      <c r="B12" s="81"/>
      <c r="C12" s="76"/>
      <c r="D12" s="76"/>
      <c r="E12" s="76"/>
      <c r="F12" s="76"/>
      <c r="G12" s="77"/>
      <c r="H12" s="76"/>
      <c r="I12" s="76"/>
      <c r="J12" s="76"/>
      <c r="K12" s="76"/>
      <c r="L12" s="76"/>
      <c r="M12" s="76"/>
      <c r="N12" s="76"/>
      <c r="O12" s="77"/>
      <c r="P12" s="76"/>
      <c r="Q12" s="76"/>
      <c r="R12" s="76"/>
      <c r="S12" s="76"/>
      <c r="T12" s="77"/>
      <c r="U12" s="76"/>
      <c r="V12" s="76"/>
      <c r="W12" s="76"/>
      <c r="X12" s="77"/>
      <c r="Y12" s="76"/>
      <c r="Z12" s="76"/>
      <c r="AA12" s="76"/>
      <c r="AB12" s="76"/>
      <c r="AC12" s="76"/>
      <c r="AD12" s="77"/>
      <c r="AE12" s="76"/>
      <c r="AF12" s="76"/>
      <c r="AG12" s="76"/>
      <c r="AH12" s="76"/>
      <c r="AI12" s="76"/>
      <c r="AJ12" s="76"/>
      <c r="AK12" s="76"/>
      <c r="AL12" s="76"/>
      <c r="AM12" s="77"/>
      <c r="AN12" s="76"/>
      <c r="AO12" s="76"/>
      <c r="AP12" s="76"/>
      <c r="AQ12" s="77"/>
      <c r="AR12" s="76"/>
      <c r="AS12" s="76"/>
      <c r="AT12" s="76"/>
      <c r="AU12" s="76"/>
      <c r="AV12" s="77"/>
      <c r="AW12" s="76"/>
      <c r="AX12" s="76"/>
      <c r="AY12" s="76"/>
      <c r="AZ12" s="76"/>
      <c r="BA12" s="76"/>
      <c r="BB12" s="77"/>
      <c r="BC12" s="76"/>
      <c r="BD12" s="76"/>
      <c r="BE12" s="76"/>
      <c r="BF12" s="76"/>
      <c r="BG12" s="76"/>
      <c r="BH12" s="77"/>
      <c r="BI12" s="2" t="s">
        <v>93</v>
      </c>
      <c r="BJ12" s="127"/>
      <c r="BK12" s="127"/>
      <c r="BL12" s="127"/>
      <c r="BM12" s="127"/>
      <c r="BN12" s="127"/>
      <c r="BO12" s="127"/>
      <c r="BP12" s="127"/>
      <c r="BQ12" s="129"/>
      <c r="BR12" s="130"/>
      <c r="BS12" s="129"/>
      <c r="BT12" s="129"/>
      <c r="BU12" s="127"/>
      <c r="BV12" s="127"/>
      <c r="BW12" s="127"/>
      <c r="BX12" s="127"/>
      <c r="BY12" s="127"/>
      <c r="BZ12" s="127"/>
      <c r="CA12" s="127"/>
      <c r="CB12" s="128"/>
      <c r="CC12" s="128"/>
      <c r="CD12" s="128"/>
      <c r="CE12" s="128"/>
      <c r="CF12" s="128"/>
      <c r="CG12" s="128"/>
      <c r="CH12" s="128"/>
      <c r="CI12" s="128"/>
      <c r="CJ12" s="127"/>
      <c r="CK12" s="129"/>
      <c r="CL12" s="129"/>
      <c r="CM12" s="129"/>
      <c r="CN12" s="127"/>
      <c r="CO12" s="127"/>
      <c r="CP12" s="127"/>
      <c r="CQ12" s="127"/>
      <c r="CR12" s="2" t="s">
        <v>80</v>
      </c>
    </row>
    <row r="13" spans="1:96">
      <c r="A13" s="81"/>
      <c r="B13" s="81"/>
      <c r="C13" s="76"/>
      <c r="D13" s="76"/>
      <c r="E13" s="76"/>
      <c r="F13" s="76"/>
      <c r="G13" s="77"/>
      <c r="H13" s="76"/>
      <c r="I13" s="76"/>
      <c r="J13" s="76"/>
      <c r="K13" s="76"/>
      <c r="L13" s="76"/>
      <c r="M13" s="76"/>
      <c r="N13" s="76"/>
      <c r="O13" s="77"/>
      <c r="P13" s="76"/>
      <c r="Q13" s="76"/>
      <c r="R13" s="76"/>
      <c r="S13" s="76"/>
      <c r="T13" s="77"/>
      <c r="U13" s="76"/>
      <c r="V13" s="76"/>
      <c r="W13" s="76"/>
      <c r="X13" s="77"/>
      <c r="Y13" s="76"/>
      <c r="Z13" s="76"/>
      <c r="AA13" s="76"/>
      <c r="AB13" s="76"/>
      <c r="AC13" s="76"/>
      <c r="AD13" s="77"/>
      <c r="AE13" s="76"/>
      <c r="AF13" s="76"/>
      <c r="AG13" s="76"/>
      <c r="AH13" s="76"/>
      <c r="AI13" s="76"/>
      <c r="AJ13" s="76"/>
      <c r="AK13" s="76"/>
      <c r="AL13" s="76"/>
      <c r="AM13" s="77"/>
      <c r="AN13" s="76"/>
      <c r="AO13" s="76"/>
      <c r="AP13" s="76"/>
      <c r="AQ13" s="77"/>
      <c r="AR13" s="76"/>
      <c r="AS13" s="76"/>
      <c r="AT13" s="76"/>
      <c r="AU13" s="76"/>
      <c r="AV13" s="77"/>
      <c r="AW13" s="76"/>
      <c r="AX13" s="76"/>
      <c r="AY13" s="76"/>
      <c r="AZ13" s="76"/>
      <c r="BA13" s="76"/>
      <c r="BB13" s="77"/>
      <c r="BC13" s="76"/>
      <c r="BD13" s="76"/>
      <c r="BE13" s="76"/>
      <c r="BF13" s="76"/>
      <c r="BG13" s="76"/>
      <c r="BH13" s="77"/>
      <c r="BI13" s="2" t="s">
        <v>93</v>
      </c>
      <c r="BJ13" s="127"/>
      <c r="BK13" s="127"/>
      <c r="BL13" s="127"/>
      <c r="BM13" s="127"/>
      <c r="BN13" s="127"/>
      <c r="BO13" s="127"/>
      <c r="BP13" s="127"/>
      <c r="BQ13" s="129"/>
      <c r="BR13" s="130"/>
      <c r="BS13" s="129"/>
      <c r="BT13" s="129"/>
      <c r="BU13" s="127"/>
      <c r="BV13" s="127"/>
      <c r="BW13" s="127"/>
      <c r="BX13" s="127"/>
      <c r="BY13" s="127"/>
      <c r="BZ13" s="127"/>
      <c r="CA13" s="127"/>
      <c r="CB13" s="128"/>
      <c r="CC13" s="128"/>
      <c r="CD13" s="128"/>
      <c r="CE13" s="128"/>
      <c r="CF13" s="128"/>
      <c r="CG13" s="128"/>
      <c r="CH13" s="128"/>
      <c r="CI13" s="128"/>
      <c r="CJ13" s="127"/>
      <c r="CK13" s="129"/>
      <c r="CL13" s="129"/>
      <c r="CM13" s="129"/>
      <c r="CN13" s="127"/>
      <c r="CO13" s="127"/>
      <c r="CP13" s="127"/>
      <c r="CQ13" s="127"/>
      <c r="CR13" s="2" t="s">
        <v>80</v>
      </c>
    </row>
    <row r="14" spans="1:96">
      <c r="A14" s="81"/>
      <c r="B14" s="81"/>
      <c r="C14" s="76"/>
      <c r="D14" s="76"/>
      <c r="E14" s="76"/>
      <c r="F14" s="76"/>
      <c r="G14" s="77"/>
      <c r="H14" s="76"/>
      <c r="I14" s="76"/>
      <c r="J14" s="76"/>
      <c r="K14" s="76"/>
      <c r="L14" s="76"/>
      <c r="M14" s="76"/>
      <c r="N14" s="76"/>
      <c r="O14" s="77"/>
      <c r="P14" s="76"/>
      <c r="Q14" s="76"/>
      <c r="R14" s="76"/>
      <c r="S14" s="76"/>
      <c r="T14" s="77"/>
      <c r="U14" s="76"/>
      <c r="V14" s="76"/>
      <c r="W14" s="76"/>
      <c r="X14" s="77"/>
      <c r="Y14" s="76"/>
      <c r="Z14" s="76"/>
      <c r="AA14" s="76"/>
      <c r="AB14" s="76"/>
      <c r="AC14" s="76"/>
      <c r="AD14" s="77"/>
      <c r="AE14" s="76"/>
      <c r="AF14" s="76"/>
      <c r="AG14" s="76"/>
      <c r="AH14" s="76"/>
      <c r="AI14" s="76"/>
      <c r="AJ14" s="76"/>
      <c r="AK14" s="76"/>
      <c r="AL14" s="76"/>
      <c r="AM14" s="77"/>
      <c r="AN14" s="76"/>
      <c r="AO14" s="76"/>
      <c r="AP14" s="76"/>
      <c r="AQ14" s="77"/>
      <c r="AR14" s="76"/>
      <c r="AS14" s="76"/>
      <c r="AT14" s="76"/>
      <c r="AU14" s="76"/>
      <c r="AV14" s="77"/>
      <c r="AW14" s="76"/>
      <c r="AX14" s="76"/>
      <c r="AY14" s="76"/>
      <c r="AZ14" s="76"/>
      <c r="BA14" s="76"/>
      <c r="BB14" s="77"/>
      <c r="BC14" s="76"/>
      <c r="BD14" s="76"/>
      <c r="BE14" s="76"/>
      <c r="BF14" s="76"/>
      <c r="BG14" s="76"/>
      <c r="BH14" s="77"/>
      <c r="BI14" s="2" t="s">
        <v>93</v>
      </c>
      <c r="BJ14" s="127"/>
      <c r="BK14" s="127"/>
      <c r="BL14" s="127"/>
      <c r="BM14" s="127"/>
      <c r="BN14" s="127"/>
      <c r="BO14" s="127"/>
      <c r="BP14" s="127"/>
      <c r="BQ14" s="129"/>
      <c r="BR14" s="130"/>
      <c r="BS14" s="129"/>
      <c r="BT14" s="129"/>
      <c r="BU14" s="127"/>
      <c r="BV14" s="127"/>
      <c r="BW14" s="127"/>
      <c r="BX14" s="127"/>
      <c r="BY14" s="127"/>
      <c r="BZ14" s="127"/>
      <c r="CA14" s="127"/>
      <c r="CB14" s="128"/>
      <c r="CC14" s="128"/>
      <c r="CD14" s="128"/>
      <c r="CE14" s="128"/>
      <c r="CF14" s="128"/>
      <c r="CG14" s="128"/>
      <c r="CH14" s="128"/>
      <c r="CI14" s="128"/>
      <c r="CJ14" s="127"/>
      <c r="CK14" s="129"/>
      <c r="CL14" s="129"/>
      <c r="CM14" s="129"/>
      <c r="CN14" s="127"/>
      <c r="CO14" s="127"/>
      <c r="CP14" s="127"/>
      <c r="CQ14" s="127"/>
      <c r="CR14" s="2" t="s">
        <v>80</v>
      </c>
    </row>
    <row r="15" spans="1:96">
      <c r="A15" s="81"/>
      <c r="B15" s="81"/>
      <c r="C15" s="76"/>
      <c r="D15" s="76"/>
      <c r="E15" s="76"/>
      <c r="F15" s="76"/>
      <c r="G15" s="77"/>
      <c r="H15" s="76"/>
      <c r="I15" s="76"/>
      <c r="J15" s="76"/>
      <c r="K15" s="76"/>
      <c r="L15" s="76"/>
      <c r="M15" s="76"/>
      <c r="N15" s="76"/>
      <c r="O15" s="77"/>
      <c r="P15" s="76"/>
      <c r="Q15" s="76"/>
      <c r="R15" s="76"/>
      <c r="S15" s="76"/>
      <c r="T15" s="77"/>
      <c r="U15" s="76"/>
      <c r="V15" s="76"/>
      <c r="W15" s="76"/>
      <c r="X15" s="77"/>
      <c r="Y15" s="76"/>
      <c r="Z15" s="76"/>
      <c r="AA15" s="76"/>
      <c r="AB15" s="76"/>
      <c r="AC15" s="76"/>
      <c r="AD15" s="77"/>
      <c r="AE15" s="76"/>
      <c r="AF15" s="76"/>
      <c r="AG15" s="76"/>
      <c r="AH15" s="76"/>
      <c r="AI15" s="76"/>
      <c r="AJ15" s="76"/>
      <c r="AK15" s="76"/>
      <c r="AL15" s="76"/>
      <c r="AM15" s="77"/>
      <c r="AN15" s="76"/>
      <c r="AO15" s="76"/>
      <c r="AP15" s="76"/>
      <c r="AQ15" s="77"/>
      <c r="AR15" s="76"/>
      <c r="AS15" s="76"/>
      <c r="AT15" s="76"/>
      <c r="AU15" s="76"/>
      <c r="AV15" s="77"/>
      <c r="AW15" s="76"/>
      <c r="AX15" s="76"/>
      <c r="AY15" s="76"/>
      <c r="AZ15" s="76"/>
      <c r="BA15" s="76"/>
      <c r="BB15" s="77"/>
      <c r="BC15" s="76"/>
      <c r="BD15" s="76"/>
      <c r="BE15" s="76"/>
      <c r="BF15" s="76"/>
      <c r="BG15" s="76"/>
      <c r="BH15" s="77"/>
      <c r="BI15" s="2" t="s">
        <v>93</v>
      </c>
      <c r="BJ15" s="127"/>
      <c r="BK15" s="127"/>
      <c r="BL15" s="127"/>
      <c r="BM15" s="127"/>
      <c r="BN15" s="127"/>
      <c r="BO15" s="127"/>
      <c r="BP15" s="127"/>
      <c r="BQ15" s="129"/>
      <c r="BR15" s="130"/>
      <c r="BS15" s="129"/>
      <c r="BT15" s="129"/>
      <c r="BU15" s="127"/>
      <c r="BV15" s="127"/>
      <c r="BW15" s="127"/>
      <c r="BX15" s="127"/>
      <c r="BY15" s="127"/>
      <c r="BZ15" s="127"/>
      <c r="CA15" s="127"/>
      <c r="CB15" s="128"/>
      <c r="CC15" s="128"/>
      <c r="CD15" s="128"/>
      <c r="CE15" s="128"/>
      <c r="CF15" s="128"/>
      <c r="CG15" s="128"/>
      <c r="CH15" s="128"/>
      <c r="CI15" s="128"/>
      <c r="CJ15" s="127"/>
      <c r="CK15" s="129"/>
      <c r="CL15" s="129"/>
      <c r="CM15" s="129"/>
      <c r="CN15" s="127"/>
      <c r="CO15" s="127"/>
      <c r="CP15" s="127"/>
      <c r="CQ15" s="127"/>
      <c r="CR15" s="2" t="s">
        <v>80</v>
      </c>
    </row>
    <row r="16" spans="1:96">
      <c r="A16" s="81"/>
      <c r="B16" s="81"/>
      <c r="C16" s="76"/>
      <c r="D16" s="76"/>
      <c r="E16" s="76"/>
      <c r="F16" s="76"/>
      <c r="G16" s="77"/>
      <c r="H16" s="76"/>
      <c r="I16" s="76"/>
      <c r="J16" s="76"/>
      <c r="K16" s="76"/>
      <c r="L16" s="76"/>
      <c r="M16" s="76"/>
      <c r="N16" s="76"/>
      <c r="O16" s="77"/>
      <c r="P16" s="76"/>
      <c r="Q16" s="76"/>
      <c r="R16" s="76"/>
      <c r="S16" s="76"/>
      <c r="T16" s="77"/>
      <c r="U16" s="76"/>
      <c r="V16" s="76"/>
      <c r="W16" s="76"/>
      <c r="X16" s="77"/>
      <c r="Y16" s="76"/>
      <c r="Z16" s="76"/>
      <c r="AA16" s="76"/>
      <c r="AB16" s="76"/>
      <c r="AC16" s="76"/>
      <c r="AD16" s="77"/>
      <c r="AE16" s="76"/>
      <c r="AF16" s="76"/>
      <c r="AG16" s="76"/>
      <c r="AH16" s="76"/>
      <c r="AI16" s="76"/>
      <c r="AJ16" s="76"/>
      <c r="AK16" s="76"/>
      <c r="AL16" s="76"/>
      <c r="AM16" s="77"/>
      <c r="AN16" s="76"/>
      <c r="AO16" s="76"/>
      <c r="AP16" s="76"/>
      <c r="AQ16" s="77"/>
      <c r="AR16" s="76"/>
      <c r="AS16" s="76"/>
      <c r="AT16" s="76"/>
      <c r="AU16" s="76"/>
      <c r="AV16" s="77"/>
      <c r="AW16" s="76"/>
      <c r="AX16" s="76"/>
      <c r="AY16" s="76"/>
      <c r="AZ16" s="76"/>
      <c r="BA16" s="76"/>
      <c r="BB16" s="77"/>
      <c r="BC16" s="76"/>
      <c r="BD16" s="76"/>
      <c r="BE16" s="76"/>
      <c r="BF16" s="76"/>
      <c r="BG16" s="76"/>
      <c r="BH16" s="77"/>
      <c r="BI16" s="2" t="s">
        <v>93</v>
      </c>
      <c r="BJ16" s="127"/>
      <c r="BK16" s="127"/>
      <c r="BL16" s="127"/>
      <c r="BM16" s="127"/>
      <c r="BN16" s="127"/>
      <c r="BO16" s="127"/>
      <c r="BP16" s="127"/>
      <c r="BQ16" s="129"/>
      <c r="BR16" s="130"/>
      <c r="BS16" s="129"/>
      <c r="BT16" s="129"/>
      <c r="BU16" s="127"/>
      <c r="BV16" s="127"/>
      <c r="BW16" s="127"/>
      <c r="BX16" s="127"/>
      <c r="BY16" s="127"/>
      <c r="BZ16" s="127"/>
      <c r="CA16" s="127"/>
      <c r="CB16" s="128"/>
      <c r="CC16" s="128"/>
      <c r="CD16" s="128"/>
      <c r="CE16" s="128"/>
      <c r="CF16" s="128"/>
      <c r="CG16" s="128"/>
      <c r="CH16" s="128"/>
      <c r="CI16" s="128"/>
      <c r="CJ16" s="127"/>
      <c r="CK16" s="129"/>
      <c r="CL16" s="129"/>
      <c r="CM16" s="129"/>
      <c r="CN16" s="127"/>
      <c r="CO16" s="127"/>
      <c r="CP16" s="127"/>
      <c r="CQ16" s="127"/>
      <c r="CR16" s="2" t="s">
        <v>80</v>
      </c>
    </row>
    <row r="17" spans="1:96">
      <c r="A17" s="81"/>
      <c r="B17" s="81"/>
      <c r="C17" s="76"/>
      <c r="D17" s="76"/>
      <c r="E17" s="76"/>
      <c r="F17" s="76"/>
      <c r="G17" s="77"/>
      <c r="H17" s="76"/>
      <c r="I17" s="76"/>
      <c r="J17" s="76"/>
      <c r="K17" s="76"/>
      <c r="L17" s="76"/>
      <c r="M17" s="76"/>
      <c r="N17" s="76"/>
      <c r="O17" s="77"/>
      <c r="P17" s="76"/>
      <c r="Q17" s="76"/>
      <c r="R17" s="76"/>
      <c r="S17" s="76"/>
      <c r="T17" s="77"/>
      <c r="U17" s="76"/>
      <c r="V17" s="76"/>
      <c r="W17" s="76"/>
      <c r="X17" s="77"/>
      <c r="Y17" s="76"/>
      <c r="Z17" s="76"/>
      <c r="AA17" s="76"/>
      <c r="AB17" s="76"/>
      <c r="AC17" s="76"/>
      <c r="AD17" s="77"/>
      <c r="AE17" s="76"/>
      <c r="AF17" s="76"/>
      <c r="AG17" s="76"/>
      <c r="AH17" s="76"/>
      <c r="AI17" s="76"/>
      <c r="AJ17" s="76"/>
      <c r="AK17" s="76"/>
      <c r="AL17" s="76"/>
      <c r="AM17" s="77"/>
      <c r="AN17" s="76"/>
      <c r="AO17" s="76"/>
      <c r="AP17" s="76"/>
      <c r="AQ17" s="77"/>
      <c r="AR17" s="76"/>
      <c r="AS17" s="76"/>
      <c r="AT17" s="76"/>
      <c r="AU17" s="76"/>
      <c r="AV17" s="77"/>
      <c r="AW17" s="76"/>
      <c r="AX17" s="76"/>
      <c r="AY17" s="76"/>
      <c r="AZ17" s="76"/>
      <c r="BA17" s="76"/>
      <c r="BB17" s="77"/>
      <c r="BC17" s="76"/>
      <c r="BD17" s="76"/>
      <c r="BE17" s="76"/>
      <c r="BF17" s="76"/>
      <c r="BG17" s="76"/>
      <c r="BH17" s="77"/>
      <c r="BI17" s="2" t="s">
        <v>93</v>
      </c>
      <c r="BJ17" s="127"/>
      <c r="BK17" s="127"/>
      <c r="BL17" s="127"/>
      <c r="BM17" s="127"/>
      <c r="BN17" s="127"/>
      <c r="BO17" s="127"/>
      <c r="BP17" s="127"/>
      <c r="BQ17" s="129"/>
      <c r="BR17" s="130"/>
      <c r="BS17" s="129"/>
      <c r="BT17" s="129"/>
      <c r="BU17" s="127"/>
      <c r="BV17" s="127"/>
      <c r="BW17" s="127"/>
      <c r="BX17" s="127"/>
      <c r="BY17" s="127"/>
      <c r="BZ17" s="127"/>
      <c r="CA17" s="127"/>
      <c r="CB17" s="128"/>
      <c r="CC17" s="128"/>
      <c r="CD17" s="128"/>
      <c r="CE17" s="128"/>
      <c r="CF17" s="128"/>
      <c r="CG17" s="128"/>
      <c r="CH17" s="128"/>
      <c r="CI17" s="128"/>
      <c r="CJ17" s="127"/>
      <c r="CK17" s="129"/>
      <c r="CL17" s="129"/>
      <c r="CM17" s="129"/>
      <c r="CN17" s="127"/>
      <c r="CO17" s="127"/>
      <c r="CP17" s="127"/>
      <c r="CQ17" s="127"/>
      <c r="CR17" s="2" t="s">
        <v>80</v>
      </c>
    </row>
    <row r="18" spans="1:96">
      <c r="A18" s="81"/>
      <c r="B18" s="81"/>
      <c r="C18" s="76"/>
      <c r="D18" s="76"/>
      <c r="E18" s="76"/>
      <c r="F18" s="76"/>
      <c r="G18" s="77"/>
      <c r="H18" s="76"/>
      <c r="I18" s="76"/>
      <c r="J18" s="76"/>
      <c r="K18" s="76"/>
      <c r="L18" s="76"/>
      <c r="M18" s="76"/>
      <c r="N18" s="76"/>
      <c r="O18" s="77"/>
      <c r="P18" s="76"/>
      <c r="Q18" s="76"/>
      <c r="R18" s="76"/>
      <c r="S18" s="76"/>
      <c r="T18" s="77"/>
      <c r="U18" s="76"/>
      <c r="V18" s="76"/>
      <c r="W18" s="76"/>
      <c r="X18" s="77"/>
      <c r="Y18" s="76"/>
      <c r="Z18" s="76"/>
      <c r="AA18" s="76"/>
      <c r="AB18" s="76"/>
      <c r="AC18" s="76"/>
      <c r="AD18" s="77"/>
      <c r="AE18" s="76"/>
      <c r="AF18" s="76"/>
      <c r="AG18" s="76"/>
      <c r="AH18" s="76"/>
      <c r="AI18" s="76"/>
      <c r="AJ18" s="76"/>
      <c r="AK18" s="76"/>
      <c r="AL18" s="76"/>
      <c r="AM18" s="77"/>
      <c r="AN18" s="76"/>
      <c r="AO18" s="76"/>
      <c r="AP18" s="76"/>
      <c r="AQ18" s="77"/>
      <c r="AR18" s="76"/>
      <c r="AS18" s="76"/>
      <c r="AT18" s="76"/>
      <c r="AU18" s="76"/>
      <c r="AV18" s="77"/>
      <c r="AW18" s="76"/>
      <c r="AX18" s="76"/>
      <c r="AY18" s="76"/>
      <c r="AZ18" s="76"/>
      <c r="BA18" s="76"/>
      <c r="BB18" s="77"/>
      <c r="BC18" s="76"/>
      <c r="BD18" s="76"/>
      <c r="BE18" s="76"/>
      <c r="BF18" s="76"/>
      <c r="BG18" s="76"/>
      <c r="BH18" s="77"/>
      <c r="BI18" s="2" t="s">
        <v>93</v>
      </c>
      <c r="BJ18" s="127"/>
      <c r="BK18" s="127"/>
      <c r="BL18" s="127"/>
      <c r="BM18" s="127"/>
      <c r="BN18" s="127"/>
      <c r="BO18" s="127"/>
      <c r="BP18" s="127"/>
      <c r="BQ18" s="129"/>
      <c r="BR18" s="130"/>
      <c r="BS18" s="129"/>
      <c r="BT18" s="129"/>
      <c r="BU18" s="127"/>
      <c r="BV18" s="127"/>
      <c r="BW18" s="127"/>
      <c r="BX18" s="127"/>
      <c r="BY18" s="127"/>
      <c r="BZ18" s="127"/>
      <c r="CA18" s="127"/>
      <c r="CB18" s="128"/>
      <c r="CC18" s="128"/>
      <c r="CD18" s="128"/>
      <c r="CE18" s="128"/>
      <c r="CF18" s="128"/>
      <c r="CG18" s="128"/>
      <c r="CH18" s="128"/>
      <c r="CI18" s="128"/>
      <c r="CJ18" s="127"/>
      <c r="CK18" s="129"/>
      <c r="CL18" s="129"/>
      <c r="CM18" s="129"/>
      <c r="CN18" s="127"/>
      <c r="CO18" s="127"/>
      <c r="CP18" s="127"/>
      <c r="CQ18" s="127"/>
      <c r="CR18" s="2" t="s">
        <v>80</v>
      </c>
    </row>
    <row r="19" spans="1:96">
      <c r="A19" s="81"/>
      <c r="B19" s="81"/>
      <c r="C19" s="76"/>
      <c r="D19" s="76"/>
      <c r="E19" s="76"/>
      <c r="F19" s="76"/>
      <c r="G19" s="77"/>
      <c r="H19" s="76"/>
      <c r="I19" s="76"/>
      <c r="J19" s="76"/>
      <c r="K19" s="76"/>
      <c r="L19" s="76"/>
      <c r="M19" s="76"/>
      <c r="N19" s="76"/>
      <c r="O19" s="77"/>
      <c r="P19" s="76"/>
      <c r="Q19" s="76"/>
      <c r="R19" s="76"/>
      <c r="S19" s="76"/>
      <c r="T19" s="77"/>
      <c r="U19" s="76"/>
      <c r="V19" s="76"/>
      <c r="W19" s="76"/>
      <c r="X19" s="77"/>
      <c r="Y19" s="76"/>
      <c r="Z19" s="76"/>
      <c r="AA19" s="76"/>
      <c r="AB19" s="76"/>
      <c r="AC19" s="76"/>
      <c r="AD19" s="77"/>
      <c r="AE19" s="76"/>
      <c r="AF19" s="76"/>
      <c r="AG19" s="76"/>
      <c r="AH19" s="76"/>
      <c r="AI19" s="76"/>
      <c r="AJ19" s="76"/>
      <c r="AK19" s="76"/>
      <c r="AL19" s="76"/>
      <c r="AM19" s="77"/>
      <c r="AN19" s="76"/>
      <c r="AO19" s="76"/>
      <c r="AP19" s="76"/>
      <c r="AQ19" s="77"/>
      <c r="AR19" s="76"/>
      <c r="AS19" s="76"/>
      <c r="AT19" s="76"/>
      <c r="AU19" s="76"/>
      <c r="AV19" s="77"/>
      <c r="AW19" s="76"/>
      <c r="AX19" s="76"/>
      <c r="AY19" s="76"/>
      <c r="AZ19" s="76"/>
      <c r="BA19" s="76"/>
      <c r="BB19" s="77"/>
      <c r="BC19" s="76"/>
      <c r="BD19" s="76"/>
      <c r="BE19" s="76"/>
      <c r="BF19" s="76"/>
      <c r="BG19" s="76"/>
      <c r="BH19" s="77"/>
      <c r="BI19" s="2" t="s">
        <v>93</v>
      </c>
      <c r="BJ19" s="127"/>
      <c r="BK19" s="127"/>
      <c r="BL19" s="127"/>
      <c r="BM19" s="127"/>
      <c r="BN19" s="127"/>
      <c r="BO19" s="127"/>
      <c r="BP19" s="127"/>
      <c r="BQ19" s="129"/>
      <c r="BR19" s="130"/>
      <c r="BS19" s="129"/>
      <c r="BT19" s="129"/>
      <c r="BU19" s="127"/>
      <c r="BV19" s="127"/>
      <c r="BW19" s="127"/>
      <c r="BX19" s="127"/>
      <c r="BY19" s="127"/>
      <c r="BZ19" s="127"/>
      <c r="CA19" s="127"/>
      <c r="CB19" s="128"/>
      <c r="CC19" s="128"/>
      <c r="CD19" s="128"/>
      <c r="CE19" s="128"/>
      <c r="CF19" s="128"/>
      <c r="CG19" s="128"/>
      <c r="CH19" s="128"/>
      <c r="CI19" s="128"/>
      <c r="CJ19" s="127"/>
      <c r="CK19" s="129"/>
      <c r="CL19" s="129"/>
      <c r="CM19" s="129"/>
      <c r="CN19" s="127"/>
      <c r="CO19" s="127"/>
      <c r="CP19" s="127"/>
      <c r="CQ19" s="127"/>
      <c r="CR19" s="2" t="s">
        <v>80</v>
      </c>
    </row>
    <row r="20" spans="1:96">
      <c r="A20" s="81"/>
      <c r="B20" s="81"/>
      <c r="C20" s="76"/>
      <c r="D20" s="76"/>
      <c r="E20" s="76"/>
      <c r="F20" s="76"/>
      <c r="G20" s="77"/>
      <c r="H20" s="76"/>
      <c r="I20" s="76"/>
      <c r="J20" s="76"/>
      <c r="K20" s="76"/>
      <c r="L20" s="76"/>
      <c r="M20" s="76"/>
      <c r="N20" s="76"/>
      <c r="O20" s="77"/>
      <c r="P20" s="76"/>
      <c r="Q20" s="76"/>
      <c r="R20" s="76"/>
      <c r="S20" s="76"/>
      <c r="T20" s="77"/>
      <c r="U20" s="76"/>
      <c r="V20" s="76"/>
      <c r="W20" s="76"/>
      <c r="X20" s="77"/>
      <c r="Y20" s="76"/>
      <c r="Z20" s="76"/>
      <c r="AA20" s="76"/>
      <c r="AB20" s="76"/>
      <c r="AC20" s="76"/>
      <c r="AD20" s="77"/>
      <c r="AE20" s="76"/>
      <c r="AF20" s="76"/>
      <c r="AG20" s="76"/>
      <c r="AH20" s="76"/>
      <c r="AI20" s="76"/>
      <c r="AJ20" s="76"/>
      <c r="AK20" s="76"/>
      <c r="AL20" s="76"/>
      <c r="AM20" s="77"/>
      <c r="AN20" s="76"/>
      <c r="AO20" s="76"/>
      <c r="AP20" s="76"/>
      <c r="AQ20" s="77"/>
      <c r="AR20" s="76"/>
      <c r="AS20" s="76"/>
      <c r="AT20" s="76"/>
      <c r="AU20" s="76"/>
      <c r="AV20" s="77"/>
      <c r="AW20" s="76"/>
      <c r="AX20" s="76"/>
      <c r="AY20" s="76"/>
      <c r="AZ20" s="76"/>
      <c r="BA20" s="76"/>
      <c r="BB20" s="77"/>
      <c r="BC20" s="76"/>
      <c r="BD20" s="76"/>
      <c r="BE20" s="76"/>
      <c r="BF20" s="76"/>
      <c r="BG20" s="76"/>
      <c r="BH20" s="77"/>
      <c r="BI20" s="2" t="s">
        <v>93</v>
      </c>
      <c r="BJ20" s="127"/>
      <c r="BK20" s="127"/>
      <c r="BL20" s="127"/>
      <c r="BM20" s="127"/>
      <c r="BN20" s="127"/>
      <c r="BO20" s="127"/>
      <c r="BP20" s="127"/>
      <c r="BQ20" s="129"/>
      <c r="BR20" s="130"/>
      <c r="BS20" s="129"/>
      <c r="BT20" s="129"/>
      <c r="BU20" s="127"/>
      <c r="BV20" s="127"/>
      <c r="BW20" s="127"/>
      <c r="BX20" s="127"/>
      <c r="BY20" s="127"/>
      <c r="BZ20" s="127"/>
      <c r="CA20" s="127"/>
      <c r="CB20" s="128"/>
      <c r="CC20" s="128"/>
      <c r="CD20" s="128"/>
      <c r="CE20" s="128"/>
      <c r="CF20" s="128"/>
      <c r="CG20" s="128"/>
      <c r="CH20" s="128"/>
      <c r="CI20" s="128"/>
      <c r="CJ20" s="127"/>
      <c r="CK20" s="129"/>
      <c r="CL20" s="129"/>
      <c r="CM20" s="129"/>
      <c r="CN20" s="127"/>
      <c r="CO20" s="127"/>
      <c r="CP20" s="127"/>
      <c r="CQ20" s="127"/>
      <c r="CR20" s="2" t="s">
        <v>80</v>
      </c>
    </row>
    <row r="21" spans="1:96">
      <c r="A21" s="81"/>
      <c r="B21" s="81"/>
      <c r="C21" s="76"/>
      <c r="D21" s="76"/>
      <c r="E21" s="76"/>
      <c r="F21" s="76"/>
      <c r="G21" s="77"/>
      <c r="H21" s="76"/>
      <c r="I21" s="76"/>
      <c r="J21" s="76"/>
      <c r="K21" s="76"/>
      <c r="L21" s="76"/>
      <c r="M21" s="76"/>
      <c r="N21" s="76"/>
      <c r="O21" s="77"/>
      <c r="P21" s="76"/>
      <c r="Q21" s="76"/>
      <c r="R21" s="76"/>
      <c r="S21" s="76"/>
      <c r="T21" s="77"/>
      <c r="U21" s="76"/>
      <c r="V21" s="76"/>
      <c r="W21" s="76"/>
      <c r="X21" s="77"/>
      <c r="Y21" s="76"/>
      <c r="Z21" s="76"/>
      <c r="AA21" s="76"/>
      <c r="AB21" s="76"/>
      <c r="AC21" s="76"/>
      <c r="AD21" s="77"/>
      <c r="AE21" s="76"/>
      <c r="AF21" s="76"/>
      <c r="AG21" s="76"/>
      <c r="AH21" s="76"/>
      <c r="AI21" s="76"/>
      <c r="AJ21" s="76"/>
      <c r="AK21" s="76"/>
      <c r="AL21" s="76"/>
      <c r="AM21" s="77"/>
      <c r="AN21" s="76"/>
      <c r="AO21" s="76"/>
      <c r="AP21" s="76"/>
      <c r="AQ21" s="77"/>
      <c r="AR21" s="76"/>
      <c r="AS21" s="76"/>
      <c r="AT21" s="76"/>
      <c r="AU21" s="76"/>
      <c r="AV21" s="77"/>
      <c r="AW21" s="76"/>
      <c r="AX21" s="76"/>
      <c r="AY21" s="76"/>
      <c r="AZ21" s="76"/>
      <c r="BA21" s="76"/>
      <c r="BB21" s="77"/>
      <c r="BC21" s="76"/>
      <c r="BD21" s="76"/>
      <c r="BE21" s="76"/>
      <c r="BF21" s="76"/>
      <c r="BG21" s="76"/>
      <c r="BH21" s="77"/>
      <c r="BI21" s="2" t="s">
        <v>93</v>
      </c>
      <c r="BJ21" s="127"/>
      <c r="BK21" s="127"/>
      <c r="BL21" s="127"/>
      <c r="BM21" s="127"/>
      <c r="BN21" s="127"/>
      <c r="BO21" s="127"/>
      <c r="BP21" s="127"/>
      <c r="BQ21" s="129"/>
      <c r="BR21" s="130"/>
      <c r="BS21" s="129"/>
      <c r="BT21" s="129"/>
      <c r="BU21" s="127"/>
      <c r="BV21" s="127"/>
      <c r="BW21" s="127"/>
      <c r="BX21" s="127"/>
      <c r="BY21" s="127"/>
      <c r="BZ21" s="127"/>
      <c r="CA21" s="127"/>
      <c r="CB21" s="128"/>
      <c r="CC21" s="128"/>
      <c r="CD21" s="128"/>
      <c r="CE21" s="128"/>
      <c r="CF21" s="128"/>
      <c r="CG21" s="128"/>
      <c r="CH21" s="128"/>
      <c r="CI21" s="128"/>
      <c r="CJ21" s="127"/>
      <c r="CK21" s="129"/>
      <c r="CL21" s="129"/>
      <c r="CM21" s="129"/>
      <c r="CN21" s="127"/>
      <c r="CO21" s="127"/>
      <c r="CP21" s="127"/>
      <c r="CQ21" s="127"/>
      <c r="CR21" s="2" t="s">
        <v>80</v>
      </c>
    </row>
    <row r="22" spans="1:96">
      <c r="A22" s="81"/>
      <c r="B22" s="81"/>
      <c r="C22" s="76"/>
      <c r="D22" s="76"/>
      <c r="E22" s="76"/>
      <c r="F22" s="76"/>
      <c r="G22" s="77"/>
      <c r="H22" s="76"/>
      <c r="I22" s="76"/>
      <c r="J22" s="76"/>
      <c r="K22" s="76"/>
      <c r="L22" s="76"/>
      <c r="M22" s="76"/>
      <c r="N22" s="76"/>
      <c r="O22" s="77"/>
      <c r="P22" s="76"/>
      <c r="Q22" s="76"/>
      <c r="R22" s="76"/>
      <c r="S22" s="76"/>
      <c r="T22" s="77"/>
      <c r="U22" s="76"/>
      <c r="V22" s="76"/>
      <c r="W22" s="76"/>
      <c r="X22" s="77"/>
      <c r="Y22" s="76"/>
      <c r="Z22" s="76"/>
      <c r="AA22" s="76"/>
      <c r="AB22" s="76"/>
      <c r="AC22" s="76"/>
      <c r="AD22" s="77"/>
      <c r="AE22" s="76"/>
      <c r="AF22" s="76"/>
      <c r="AG22" s="76"/>
      <c r="AH22" s="76"/>
      <c r="AI22" s="76"/>
      <c r="AJ22" s="76"/>
      <c r="AK22" s="76"/>
      <c r="AL22" s="76"/>
      <c r="AM22" s="77"/>
      <c r="AN22" s="76"/>
      <c r="AO22" s="76"/>
      <c r="AP22" s="76"/>
      <c r="AQ22" s="77"/>
      <c r="AR22" s="76"/>
      <c r="AS22" s="76"/>
      <c r="AT22" s="76"/>
      <c r="AU22" s="76"/>
      <c r="AV22" s="77"/>
      <c r="AW22" s="76"/>
      <c r="AX22" s="76"/>
      <c r="AY22" s="76"/>
      <c r="AZ22" s="76"/>
      <c r="BA22" s="76"/>
      <c r="BB22" s="77"/>
      <c r="BC22" s="76"/>
      <c r="BD22" s="76"/>
      <c r="BE22" s="76"/>
      <c r="BF22" s="76"/>
      <c r="BG22" s="76"/>
      <c r="BH22" s="77"/>
      <c r="BI22" s="2" t="s">
        <v>93</v>
      </c>
      <c r="BJ22" s="127"/>
      <c r="BK22" s="127"/>
      <c r="BL22" s="127"/>
      <c r="BM22" s="127"/>
      <c r="BN22" s="127"/>
      <c r="BO22" s="127"/>
      <c r="BP22" s="127"/>
      <c r="BQ22" s="129"/>
      <c r="BR22" s="130"/>
      <c r="BS22" s="129"/>
      <c r="BT22" s="129"/>
      <c r="BU22" s="127"/>
      <c r="BV22" s="127"/>
      <c r="BW22" s="127"/>
      <c r="BX22" s="127"/>
      <c r="BY22" s="127"/>
      <c r="BZ22" s="127"/>
      <c r="CA22" s="127"/>
      <c r="CB22" s="128"/>
      <c r="CC22" s="128"/>
      <c r="CD22" s="128"/>
      <c r="CE22" s="128"/>
      <c r="CF22" s="128"/>
      <c r="CG22" s="128"/>
      <c r="CH22" s="128"/>
      <c r="CI22" s="128"/>
      <c r="CJ22" s="127"/>
      <c r="CK22" s="129"/>
      <c r="CL22" s="129"/>
      <c r="CM22" s="129"/>
      <c r="CN22" s="127"/>
      <c r="CO22" s="127"/>
      <c r="CP22" s="127"/>
      <c r="CQ22" s="127"/>
      <c r="CR22" s="2" t="s">
        <v>80</v>
      </c>
    </row>
    <row r="23" spans="1:96">
      <c r="A23" s="81"/>
      <c r="B23" s="81"/>
      <c r="C23" s="76"/>
      <c r="D23" s="76"/>
      <c r="E23" s="76"/>
      <c r="F23" s="76"/>
      <c r="G23" s="77"/>
      <c r="H23" s="76"/>
      <c r="I23" s="76"/>
      <c r="J23" s="76"/>
      <c r="K23" s="76"/>
      <c r="L23" s="76"/>
      <c r="M23" s="76"/>
      <c r="N23" s="76"/>
      <c r="O23" s="77"/>
      <c r="P23" s="76"/>
      <c r="Q23" s="76"/>
      <c r="R23" s="76"/>
      <c r="S23" s="76"/>
      <c r="T23" s="77"/>
      <c r="U23" s="76"/>
      <c r="V23" s="76"/>
      <c r="W23" s="76"/>
      <c r="X23" s="77"/>
      <c r="Y23" s="76"/>
      <c r="Z23" s="76"/>
      <c r="AA23" s="76"/>
      <c r="AB23" s="76"/>
      <c r="AC23" s="76"/>
      <c r="AD23" s="77"/>
      <c r="AE23" s="76"/>
      <c r="AF23" s="76"/>
      <c r="AG23" s="76"/>
      <c r="AH23" s="76"/>
      <c r="AI23" s="76"/>
      <c r="AJ23" s="76"/>
      <c r="AK23" s="76"/>
      <c r="AL23" s="76"/>
      <c r="AM23" s="77"/>
      <c r="AN23" s="76"/>
      <c r="AO23" s="76"/>
      <c r="AP23" s="76"/>
      <c r="AQ23" s="77"/>
      <c r="AR23" s="76"/>
      <c r="AS23" s="76"/>
      <c r="AT23" s="76"/>
      <c r="AU23" s="76"/>
      <c r="AV23" s="77"/>
      <c r="AW23" s="76"/>
      <c r="AX23" s="76"/>
      <c r="AY23" s="76"/>
      <c r="AZ23" s="76"/>
      <c r="BA23" s="76"/>
      <c r="BB23" s="77"/>
      <c r="BC23" s="76"/>
      <c r="BD23" s="76"/>
      <c r="BE23" s="76"/>
      <c r="BF23" s="76"/>
      <c r="BG23" s="76"/>
      <c r="BH23" s="77"/>
      <c r="BI23" s="2" t="s">
        <v>93</v>
      </c>
      <c r="BJ23" s="127"/>
      <c r="BK23" s="127"/>
      <c r="BL23" s="127"/>
      <c r="BM23" s="127"/>
      <c r="BN23" s="127"/>
      <c r="BO23" s="127"/>
      <c r="BP23" s="127"/>
      <c r="BQ23" s="129"/>
      <c r="BR23" s="130"/>
      <c r="BS23" s="129"/>
      <c r="BT23" s="129"/>
      <c r="BU23" s="127"/>
      <c r="BV23" s="127"/>
      <c r="BW23" s="127"/>
      <c r="BX23" s="127"/>
      <c r="BY23" s="127"/>
      <c r="BZ23" s="127"/>
      <c r="CA23" s="127"/>
      <c r="CB23" s="128"/>
      <c r="CC23" s="128"/>
      <c r="CD23" s="128"/>
      <c r="CE23" s="128"/>
      <c r="CF23" s="128"/>
      <c r="CG23" s="128"/>
      <c r="CH23" s="128"/>
      <c r="CI23" s="128"/>
      <c r="CJ23" s="127"/>
      <c r="CK23" s="129"/>
      <c r="CL23" s="129"/>
      <c r="CM23" s="129"/>
      <c r="CN23" s="127"/>
      <c r="CO23" s="127"/>
      <c r="CP23" s="127"/>
      <c r="CQ23" s="127"/>
      <c r="CR23" s="2" t="s">
        <v>80</v>
      </c>
    </row>
    <row r="24" spans="1:96">
      <c r="A24" s="81"/>
      <c r="B24" s="81"/>
      <c r="C24" s="76"/>
      <c r="D24" s="76"/>
      <c r="E24" s="76"/>
      <c r="F24" s="76"/>
      <c r="G24" s="77"/>
      <c r="H24" s="76"/>
      <c r="I24" s="76"/>
      <c r="J24" s="76"/>
      <c r="K24" s="76"/>
      <c r="L24" s="76"/>
      <c r="M24" s="76"/>
      <c r="N24" s="76"/>
      <c r="O24" s="77"/>
      <c r="P24" s="76"/>
      <c r="Q24" s="76"/>
      <c r="R24" s="76"/>
      <c r="S24" s="76"/>
      <c r="T24" s="77"/>
      <c r="U24" s="76"/>
      <c r="V24" s="76"/>
      <c r="W24" s="76"/>
      <c r="X24" s="77"/>
      <c r="Y24" s="76"/>
      <c r="Z24" s="76"/>
      <c r="AA24" s="76"/>
      <c r="AB24" s="76"/>
      <c r="AC24" s="76"/>
      <c r="AD24" s="77"/>
      <c r="AE24" s="76"/>
      <c r="AF24" s="76"/>
      <c r="AG24" s="76"/>
      <c r="AH24" s="76"/>
      <c r="AI24" s="76"/>
      <c r="AJ24" s="76"/>
      <c r="AK24" s="76"/>
      <c r="AL24" s="76"/>
      <c r="AM24" s="77"/>
      <c r="AN24" s="76"/>
      <c r="AO24" s="76"/>
      <c r="AP24" s="76"/>
      <c r="AQ24" s="77"/>
      <c r="AR24" s="76"/>
      <c r="AS24" s="76"/>
      <c r="AT24" s="76"/>
      <c r="AU24" s="76"/>
      <c r="AV24" s="77"/>
      <c r="AW24" s="76"/>
      <c r="AX24" s="76"/>
      <c r="AY24" s="76"/>
      <c r="AZ24" s="76"/>
      <c r="BA24" s="76"/>
      <c r="BB24" s="77"/>
      <c r="BC24" s="76"/>
      <c r="BD24" s="76"/>
      <c r="BE24" s="76"/>
      <c r="BF24" s="76"/>
      <c r="BG24" s="76"/>
      <c r="BH24" s="77"/>
      <c r="BI24" s="2" t="s">
        <v>93</v>
      </c>
      <c r="BJ24" s="127"/>
      <c r="BK24" s="127"/>
      <c r="BL24" s="127"/>
      <c r="BM24" s="127"/>
      <c r="BN24" s="127"/>
      <c r="BO24" s="127"/>
      <c r="BP24" s="127"/>
      <c r="BQ24" s="129"/>
      <c r="BR24" s="130"/>
      <c r="BS24" s="129"/>
      <c r="BT24" s="129"/>
      <c r="BU24" s="127"/>
      <c r="BV24" s="127"/>
      <c r="BW24" s="127"/>
      <c r="BX24" s="127"/>
      <c r="BY24" s="127"/>
      <c r="BZ24" s="127"/>
      <c r="CA24" s="127"/>
      <c r="CB24" s="128"/>
      <c r="CC24" s="128"/>
      <c r="CD24" s="128"/>
      <c r="CE24" s="128"/>
      <c r="CF24" s="128"/>
      <c r="CG24" s="128"/>
      <c r="CH24" s="128"/>
      <c r="CI24" s="128"/>
      <c r="CJ24" s="127"/>
      <c r="CK24" s="129"/>
      <c r="CL24" s="129"/>
      <c r="CM24" s="129"/>
      <c r="CN24" s="127"/>
      <c r="CO24" s="127"/>
      <c r="CP24" s="127"/>
      <c r="CQ24" s="127"/>
      <c r="CR24" s="2" t="s">
        <v>80</v>
      </c>
    </row>
    <row r="25" spans="1:96">
      <c r="A25" s="81"/>
      <c r="B25" s="81"/>
      <c r="C25" s="76"/>
      <c r="D25" s="76"/>
      <c r="E25" s="76"/>
      <c r="F25" s="76"/>
      <c r="G25" s="77"/>
      <c r="H25" s="76"/>
      <c r="I25" s="76"/>
      <c r="J25" s="76"/>
      <c r="K25" s="76"/>
      <c r="L25" s="76"/>
      <c r="M25" s="76"/>
      <c r="N25" s="76"/>
      <c r="O25" s="77"/>
      <c r="P25" s="76"/>
      <c r="Q25" s="76"/>
      <c r="R25" s="76"/>
      <c r="S25" s="76"/>
      <c r="T25" s="77"/>
      <c r="U25" s="76"/>
      <c r="V25" s="76"/>
      <c r="W25" s="76"/>
      <c r="X25" s="77"/>
      <c r="Y25" s="76"/>
      <c r="Z25" s="76"/>
      <c r="AA25" s="76"/>
      <c r="AB25" s="76"/>
      <c r="AC25" s="76"/>
      <c r="AD25" s="77"/>
      <c r="AE25" s="76"/>
      <c r="AF25" s="76"/>
      <c r="AG25" s="76"/>
      <c r="AH25" s="76"/>
      <c r="AI25" s="76"/>
      <c r="AJ25" s="76"/>
      <c r="AK25" s="76"/>
      <c r="AL25" s="76"/>
      <c r="AM25" s="77"/>
      <c r="AN25" s="76"/>
      <c r="AO25" s="76"/>
      <c r="AP25" s="76"/>
      <c r="AQ25" s="77"/>
      <c r="AR25" s="76"/>
      <c r="AS25" s="76"/>
      <c r="AT25" s="76"/>
      <c r="AU25" s="76"/>
      <c r="AV25" s="77"/>
      <c r="AW25" s="76"/>
      <c r="AX25" s="76"/>
      <c r="AY25" s="76"/>
      <c r="AZ25" s="76"/>
      <c r="BA25" s="76"/>
      <c r="BB25" s="77"/>
      <c r="BC25" s="76"/>
      <c r="BD25" s="76"/>
      <c r="BE25" s="76"/>
      <c r="BF25" s="76"/>
      <c r="BG25" s="76"/>
      <c r="BH25" s="77"/>
      <c r="BI25" s="2" t="s">
        <v>93</v>
      </c>
      <c r="BJ25" s="127"/>
      <c r="BK25" s="127"/>
      <c r="BL25" s="127"/>
      <c r="BM25" s="127"/>
      <c r="BN25" s="127"/>
      <c r="BO25" s="127"/>
      <c r="BP25" s="127"/>
      <c r="BQ25" s="129"/>
      <c r="BR25" s="130"/>
      <c r="BS25" s="129"/>
      <c r="BT25" s="129"/>
      <c r="BU25" s="127"/>
      <c r="BV25" s="127"/>
      <c r="BW25" s="127"/>
      <c r="BX25" s="127"/>
      <c r="BY25" s="127"/>
      <c r="BZ25" s="127"/>
      <c r="CA25" s="127"/>
      <c r="CB25" s="128"/>
      <c r="CC25" s="128"/>
      <c r="CD25" s="128"/>
      <c r="CE25" s="128"/>
      <c r="CF25" s="128"/>
      <c r="CG25" s="128"/>
      <c r="CH25" s="128"/>
      <c r="CI25" s="128"/>
      <c r="CJ25" s="127"/>
      <c r="CK25" s="129"/>
      <c r="CL25" s="129"/>
      <c r="CM25" s="129"/>
      <c r="CN25" s="127"/>
      <c r="CO25" s="127"/>
      <c r="CP25" s="127"/>
      <c r="CQ25" s="127"/>
      <c r="CR25" s="2" t="s">
        <v>80</v>
      </c>
    </row>
    <row r="26" spans="1:96">
      <c r="A26" s="81"/>
      <c r="B26" s="81"/>
      <c r="C26" s="76"/>
      <c r="D26" s="76"/>
      <c r="E26" s="76"/>
      <c r="F26" s="76"/>
      <c r="G26" s="77"/>
      <c r="H26" s="76"/>
      <c r="I26" s="76"/>
      <c r="J26" s="76"/>
      <c r="K26" s="76"/>
      <c r="L26" s="76"/>
      <c r="M26" s="76"/>
      <c r="N26" s="76"/>
      <c r="O26" s="77"/>
      <c r="P26" s="76"/>
      <c r="Q26" s="76"/>
      <c r="R26" s="76"/>
      <c r="S26" s="76"/>
      <c r="T26" s="77"/>
      <c r="U26" s="76"/>
      <c r="V26" s="76"/>
      <c r="W26" s="76"/>
      <c r="X26" s="77"/>
      <c r="Y26" s="76"/>
      <c r="Z26" s="76"/>
      <c r="AA26" s="76"/>
      <c r="AB26" s="76"/>
      <c r="AC26" s="76"/>
      <c r="AD26" s="77"/>
      <c r="AE26" s="76"/>
      <c r="AF26" s="76"/>
      <c r="AG26" s="76"/>
      <c r="AH26" s="76"/>
      <c r="AI26" s="76"/>
      <c r="AJ26" s="76"/>
      <c r="AK26" s="76"/>
      <c r="AL26" s="76"/>
      <c r="AM26" s="77"/>
      <c r="AN26" s="76"/>
      <c r="AO26" s="76"/>
      <c r="AP26" s="76"/>
      <c r="AQ26" s="77"/>
      <c r="AR26" s="76"/>
      <c r="AS26" s="76"/>
      <c r="AT26" s="76"/>
      <c r="AU26" s="76"/>
      <c r="AV26" s="77"/>
      <c r="AW26" s="76"/>
      <c r="AX26" s="76"/>
      <c r="AY26" s="76"/>
      <c r="AZ26" s="76"/>
      <c r="BA26" s="76"/>
      <c r="BB26" s="77"/>
      <c r="BC26" s="76"/>
      <c r="BD26" s="76"/>
      <c r="BE26" s="76"/>
      <c r="BF26" s="76"/>
      <c r="BG26" s="76"/>
      <c r="BH26" s="77"/>
      <c r="BI26" s="2" t="s">
        <v>93</v>
      </c>
      <c r="BJ26" s="127"/>
      <c r="BK26" s="127"/>
      <c r="BL26" s="127"/>
      <c r="BM26" s="127"/>
      <c r="BN26" s="127"/>
      <c r="BO26" s="127"/>
      <c r="BP26" s="127"/>
      <c r="BQ26" s="129"/>
      <c r="BR26" s="130"/>
      <c r="BS26" s="129"/>
      <c r="BT26" s="129"/>
      <c r="BU26" s="127"/>
      <c r="BV26" s="127"/>
      <c r="BW26" s="127"/>
      <c r="BX26" s="127"/>
      <c r="BY26" s="127"/>
      <c r="BZ26" s="127"/>
      <c r="CA26" s="127"/>
      <c r="CB26" s="128"/>
      <c r="CC26" s="128"/>
      <c r="CD26" s="128"/>
      <c r="CE26" s="128"/>
      <c r="CF26" s="128"/>
      <c r="CG26" s="128"/>
      <c r="CH26" s="128"/>
      <c r="CI26" s="128"/>
      <c r="CJ26" s="127"/>
      <c r="CK26" s="129"/>
      <c r="CL26" s="129"/>
      <c r="CM26" s="129"/>
      <c r="CN26" s="127"/>
      <c r="CO26" s="127"/>
      <c r="CP26" s="127"/>
      <c r="CQ26" s="127"/>
      <c r="CR26" s="2" t="s">
        <v>80</v>
      </c>
    </row>
    <row r="27" spans="1:96">
      <c r="A27" s="81"/>
      <c r="B27" s="81"/>
      <c r="C27" s="76"/>
      <c r="D27" s="76"/>
      <c r="E27" s="76"/>
      <c r="F27" s="76"/>
      <c r="G27" s="77"/>
      <c r="H27" s="76"/>
      <c r="I27" s="76"/>
      <c r="J27" s="76"/>
      <c r="K27" s="76"/>
      <c r="L27" s="76"/>
      <c r="M27" s="76"/>
      <c r="N27" s="76"/>
      <c r="O27" s="77"/>
      <c r="P27" s="76"/>
      <c r="Q27" s="76"/>
      <c r="R27" s="76"/>
      <c r="S27" s="76"/>
      <c r="T27" s="77"/>
      <c r="U27" s="76"/>
      <c r="V27" s="76"/>
      <c r="W27" s="76"/>
      <c r="X27" s="77"/>
      <c r="Y27" s="76"/>
      <c r="Z27" s="76"/>
      <c r="AA27" s="76"/>
      <c r="AB27" s="76"/>
      <c r="AC27" s="76"/>
      <c r="AD27" s="77"/>
      <c r="AE27" s="76"/>
      <c r="AF27" s="76"/>
      <c r="AG27" s="76"/>
      <c r="AH27" s="76"/>
      <c r="AI27" s="76"/>
      <c r="AJ27" s="76"/>
      <c r="AK27" s="76"/>
      <c r="AL27" s="76"/>
      <c r="AM27" s="77"/>
      <c r="AN27" s="76"/>
      <c r="AO27" s="76"/>
      <c r="AP27" s="76"/>
      <c r="AQ27" s="77"/>
      <c r="AR27" s="76"/>
      <c r="AS27" s="76"/>
      <c r="AT27" s="76"/>
      <c r="AU27" s="76"/>
      <c r="AV27" s="77"/>
      <c r="AW27" s="76"/>
      <c r="AX27" s="76"/>
      <c r="AY27" s="76"/>
      <c r="AZ27" s="76"/>
      <c r="BA27" s="76"/>
      <c r="BB27" s="77"/>
      <c r="BC27" s="76"/>
      <c r="BD27" s="76"/>
      <c r="BE27" s="76"/>
      <c r="BF27" s="76"/>
      <c r="BG27" s="76"/>
      <c r="BH27" s="77"/>
      <c r="BI27" s="2" t="s">
        <v>93</v>
      </c>
      <c r="BJ27" s="127"/>
      <c r="BK27" s="127"/>
      <c r="BL27" s="127"/>
      <c r="BM27" s="127"/>
      <c r="BN27" s="127"/>
      <c r="BO27" s="127"/>
      <c r="BP27" s="127"/>
      <c r="BQ27" s="129"/>
      <c r="BR27" s="130"/>
      <c r="BS27" s="129"/>
      <c r="BT27" s="129"/>
      <c r="BU27" s="127"/>
      <c r="BV27" s="127"/>
      <c r="BW27" s="127"/>
      <c r="BX27" s="127"/>
      <c r="BY27" s="127"/>
      <c r="BZ27" s="127"/>
      <c r="CA27" s="127"/>
      <c r="CB27" s="128"/>
      <c r="CC27" s="128"/>
      <c r="CD27" s="128"/>
      <c r="CE27" s="128"/>
      <c r="CF27" s="128"/>
      <c r="CG27" s="128"/>
      <c r="CH27" s="128"/>
      <c r="CI27" s="128"/>
      <c r="CJ27" s="127"/>
      <c r="CK27" s="129"/>
      <c r="CL27" s="129"/>
      <c r="CM27" s="129"/>
      <c r="CN27" s="127"/>
      <c r="CO27" s="127"/>
      <c r="CP27" s="127"/>
      <c r="CQ27" s="127"/>
      <c r="CR27" s="2" t="s">
        <v>80</v>
      </c>
    </row>
    <row r="28" spans="1:96">
      <c r="A28" s="81"/>
      <c r="B28" s="81"/>
      <c r="C28" s="76"/>
      <c r="D28" s="76"/>
      <c r="E28" s="76"/>
      <c r="F28" s="76"/>
      <c r="G28" s="77"/>
      <c r="H28" s="76"/>
      <c r="I28" s="76"/>
      <c r="J28" s="76"/>
      <c r="K28" s="76"/>
      <c r="L28" s="76"/>
      <c r="M28" s="76"/>
      <c r="N28" s="76"/>
      <c r="O28" s="77"/>
      <c r="P28" s="76"/>
      <c r="Q28" s="76"/>
      <c r="R28" s="76"/>
      <c r="S28" s="76"/>
      <c r="T28" s="77"/>
      <c r="U28" s="76"/>
      <c r="V28" s="76"/>
      <c r="W28" s="76"/>
      <c r="X28" s="77"/>
      <c r="Y28" s="76"/>
      <c r="Z28" s="76"/>
      <c r="AA28" s="76"/>
      <c r="AB28" s="76"/>
      <c r="AC28" s="76"/>
      <c r="AD28" s="77"/>
      <c r="AE28" s="76"/>
      <c r="AF28" s="76"/>
      <c r="AG28" s="76"/>
      <c r="AH28" s="76"/>
      <c r="AI28" s="76"/>
      <c r="AJ28" s="76"/>
      <c r="AK28" s="76"/>
      <c r="AL28" s="76"/>
      <c r="AM28" s="77"/>
      <c r="AN28" s="76"/>
      <c r="AO28" s="76"/>
      <c r="AP28" s="76"/>
      <c r="AQ28" s="77"/>
      <c r="AR28" s="76"/>
      <c r="AS28" s="76"/>
      <c r="AT28" s="76"/>
      <c r="AU28" s="76"/>
      <c r="AV28" s="77"/>
      <c r="AW28" s="76"/>
      <c r="AX28" s="76"/>
      <c r="AY28" s="76"/>
      <c r="AZ28" s="76"/>
      <c r="BA28" s="76"/>
      <c r="BB28" s="77"/>
      <c r="BC28" s="76"/>
      <c r="BD28" s="76"/>
      <c r="BE28" s="76"/>
      <c r="BF28" s="76"/>
      <c r="BG28" s="76"/>
      <c r="BH28" s="77"/>
      <c r="BI28" s="2" t="s">
        <v>93</v>
      </c>
      <c r="BJ28" s="127"/>
      <c r="BK28" s="127"/>
      <c r="BL28" s="127"/>
      <c r="BM28" s="127"/>
      <c r="BN28" s="127"/>
      <c r="BO28" s="127"/>
      <c r="BP28" s="127"/>
      <c r="BQ28" s="129"/>
      <c r="BR28" s="130"/>
      <c r="BS28" s="129"/>
      <c r="BT28" s="129"/>
      <c r="BU28" s="127"/>
      <c r="BV28" s="127"/>
      <c r="BW28" s="127"/>
      <c r="BX28" s="127"/>
      <c r="BY28" s="127"/>
      <c r="BZ28" s="127"/>
      <c r="CA28" s="127"/>
      <c r="CB28" s="128"/>
      <c r="CC28" s="128"/>
      <c r="CD28" s="128"/>
      <c r="CE28" s="128"/>
      <c r="CF28" s="128"/>
      <c r="CG28" s="128"/>
      <c r="CH28" s="128"/>
      <c r="CI28" s="128"/>
      <c r="CJ28" s="127"/>
      <c r="CK28" s="129"/>
      <c r="CL28" s="129"/>
      <c r="CM28" s="129"/>
      <c r="CN28" s="127"/>
      <c r="CO28" s="127"/>
      <c r="CP28" s="127"/>
      <c r="CQ28" s="127"/>
      <c r="CR28" s="2" t="s">
        <v>80</v>
      </c>
    </row>
    <row r="29" spans="1:96">
      <c r="A29" s="81"/>
      <c r="B29" s="81"/>
      <c r="C29" s="76"/>
      <c r="D29" s="76"/>
      <c r="E29" s="76"/>
      <c r="F29" s="76"/>
      <c r="G29" s="77"/>
      <c r="H29" s="76"/>
      <c r="I29" s="76"/>
      <c r="J29" s="76"/>
      <c r="K29" s="76"/>
      <c r="L29" s="76"/>
      <c r="M29" s="76"/>
      <c r="N29" s="76"/>
      <c r="O29" s="77"/>
      <c r="P29" s="76"/>
      <c r="Q29" s="76"/>
      <c r="R29" s="76"/>
      <c r="S29" s="76"/>
      <c r="T29" s="77"/>
      <c r="U29" s="76"/>
      <c r="V29" s="76"/>
      <c r="W29" s="76"/>
      <c r="X29" s="77"/>
      <c r="Y29" s="76"/>
      <c r="Z29" s="76"/>
      <c r="AA29" s="76"/>
      <c r="AB29" s="76"/>
      <c r="AC29" s="76"/>
      <c r="AD29" s="77"/>
      <c r="AE29" s="76"/>
      <c r="AF29" s="76"/>
      <c r="AG29" s="76"/>
      <c r="AH29" s="76"/>
      <c r="AI29" s="76"/>
      <c r="AJ29" s="76"/>
      <c r="AK29" s="76"/>
      <c r="AL29" s="76"/>
      <c r="AM29" s="77"/>
      <c r="AN29" s="76"/>
      <c r="AO29" s="76"/>
      <c r="AP29" s="76"/>
      <c r="AQ29" s="77"/>
      <c r="AR29" s="76"/>
      <c r="AS29" s="76"/>
      <c r="AT29" s="76"/>
      <c r="AU29" s="76"/>
      <c r="AV29" s="77"/>
      <c r="AW29" s="76"/>
      <c r="AX29" s="76"/>
      <c r="AY29" s="76"/>
      <c r="AZ29" s="76"/>
      <c r="BA29" s="76"/>
      <c r="BB29" s="77"/>
      <c r="BC29" s="76"/>
      <c r="BD29" s="76"/>
      <c r="BE29" s="76"/>
      <c r="BF29" s="76"/>
      <c r="BG29" s="76"/>
      <c r="BH29" s="77"/>
      <c r="BI29" s="2" t="s">
        <v>93</v>
      </c>
      <c r="BJ29" s="127"/>
      <c r="BK29" s="127"/>
      <c r="BL29" s="127"/>
      <c r="BM29" s="127"/>
      <c r="BN29" s="127"/>
      <c r="BO29" s="127"/>
      <c r="BP29" s="127"/>
      <c r="BQ29" s="129"/>
      <c r="BR29" s="130"/>
      <c r="BS29" s="129"/>
      <c r="BT29" s="129"/>
      <c r="BU29" s="127"/>
      <c r="BV29" s="127"/>
      <c r="BW29" s="127"/>
      <c r="BX29" s="127"/>
      <c r="BY29" s="127"/>
      <c r="BZ29" s="127"/>
      <c r="CA29" s="127"/>
      <c r="CB29" s="128"/>
      <c r="CC29" s="128"/>
      <c r="CD29" s="128"/>
      <c r="CE29" s="128"/>
      <c r="CF29" s="128"/>
      <c r="CG29" s="128"/>
      <c r="CH29" s="128"/>
      <c r="CI29" s="128"/>
      <c r="CJ29" s="127"/>
      <c r="CK29" s="129"/>
      <c r="CL29" s="129"/>
      <c r="CM29" s="129"/>
      <c r="CN29" s="127"/>
      <c r="CO29" s="127"/>
      <c r="CP29" s="127"/>
      <c r="CQ29" s="127"/>
      <c r="CR29" s="2" t="s">
        <v>80</v>
      </c>
    </row>
    <row r="30" spans="1:96">
      <c r="A30" s="81"/>
      <c r="B30" s="81"/>
      <c r="C30" s="76"/>
      <c r="D30" s="76"/>
      <c r="E30" s="76"/>
      <c r="F30" s="76"/>
      <c r="G30" s="77"/>
      <c r="H30" s="76"/>
      <c r="I30" s="76"/>
      <c r="J30" s="76"/>
      <c r="K30" s="76"/>
      <c r="L30" s="76"/>
      <c r="M30" s="76"/>
      <c r="N30" s="76"/>
      <c r="O30" s="77"/>
      <c r="P30" s="76"/>
      <c r="Q30" s="76"/>
      <c r="R30" s="76"/>
      <c r="S30" s="76"/>
      <c r="T30" s="77"/>
      <c r="U30" s="76"/>
      <c r="V30" s="76"/>
      <c r="W30" s="76"/>
      <c r="X30" s="77"/>
      <c r="Y30" s="76"/>
      <c r="Z30" s="76"/>
      <c r="AA30" s="76"/>
      <c r="AB30" s="76"/>
      <c r="AC30" s="76"/>
      <c r="AD30" s="77"/>
      <c r="AE30" s="76"/>
      <c r="AF30" s="76"/>
      <c r="AG30" s="76"/>
      <c r="AH30" s="76"/>
      <c r="AI30" s="76"/>
      <c r="AJ30" s="76"/>
      <c r="AK30" s="76"/>
      <c r="AL30" s="76"/>
      <c r="AM30" s="77"/>
      <c r="AN30" s="76"/>
      <c r="AO30" s="76"/>
      <c r="AP30" s="76"/>
      <c r="AQ30" s="77"/>
      <c r="AR30" s="76"/>
      <c r="AS30" s="76"/>
      <c r="AT30" s="76"/>
      <c r="AU30" s="76"/>
      <c r="AV30" s="77"/>
      <c r="AW30" s="76"/>
      <c r="AX30" s="76"/>
      <c r="AY30" s="76"/>
      <c r="AZ30" s="76"/>
      <c r="BA30" s="76"/>
      <c r="BB30" s="77"/>
      <c r="BC30" s="76"/>
      <c r="BD30" s="76"/>
      <c r="BE30" s="76"/>
      <c r="BF30" s="76"/>
      <c r="BG30" s="76"/>
      <c r="BH30" s="77"/>
      <c r="BI30" s="2" t="s">
        <v>93</v>
      </c>
      <c r="BJ30" s="127"/>
      <c r="BK30" s="127"/>
      <c r="BL30" s="127"/>
      <c r="BM30" s="127"/>
      <c r="BN30" s="127"/>
      <c r="BO30" s="127"/>
      <c r="BP30" s="127"/>
      <c r="BQ30" s="129"/>
      <c r="BR30" s="130"/>
      <c r="BS30" s="129"/>
      <c r="BT30" s="129"/>
      <c r="BU30" s="127"/>
      <c r="BV30" s="127"/>
      <c r="BW30" s="127"/>
      <c r="BX30" s="127"/>
      <c r="BY30" s="127"/>
      <c r="BZ30" s="127"/>
      <c r="CA30" s="127"/>
      <c r="CB30" s="128"/>
      <c r="CC30" s="128"/>
      <c r="CD30" s="128"/>
      <c r="CE30" s="128"/>
      <c r="CF30" s="128"/>
      <c r="CG30" s="128"/>
      <c r="CH30" s="128"/>
      <c r="CI30" s="128"/>
      <c r="CJ30" s="127"/>
      <c r="CK30" s="129"/>
      <c r="CL30" s="129"/>
      <c r="CM30" s="129"/>
      <c r="CN30" s="127"/>
      <c r="CO30" s="127"/>
      <c r="CP30" s="127"/>
      <c r="CQ30" s="127"/>
      <c r="CR30" s="2" t="s">
        <v>80</v>
      </c>
    </row>
    <row r="31" spans="1:96">
      <c r="A31" s="2" t="s">
        <v>51</v>
      </c>
      <c r="B31" s="2" t="s">
        <v>51</v>
      </c>
      <c r="C31" s="2" t="s">
        <v>51</v>
      </c>
      <c r="D31" s="2" t="s">
        <v>51</v>
      </c>
      <c r="E31" s="2" t="s">
        <v>51</v>
      </c>
      <c r="F31" s="2" t="s">
        <v>51</v>
      </c>
      <c r="G31" s="2" t="s">
        <v>51</v>
      </c>
      <c r="H31" s="2" t="s">
        <v>51</v>
      </c>
      <c r="I31" s="2" t="s">
        <v>51</v>
      </c>
      <c r="J31" s="2" t="s">
        <v>51</v>
      </c>
      <c r="K31" s="2" t="s">
        <v>51</v>
      </c>
      <c r="L31" s="2" t="s">
        <v>51</v>
      </c>
      <c r="M31" s="2" t="s">
        <v>51</v>
      </c>
      <c r="N31" s="2" t="s">
        <v>51</v>
      </c>
      <c r="O31" s="2" t="s">
        <v>51</v>
      </c>
      <c r="P31" s="2" t="s">
        <v>51</v>
      </c>
      <c r="Q31" s="2" t="s">
        <v>51</v>
      </c>
      <c r="R31" s="2" t="s">
        <v>51</v>
      </c>
      <c r="S31" s="2" t="s">
        <v>80</v>
      </c>
      <c r="T31" s="2" t="s">
        <v>51</v>
      </c>
      <c r="U31" s="2" t="s">
        <v>51</v>
      </c>
      <c r="V31" s="2" t="s">
        <v>51</v>
      </c>
      <c r="W31" s="2" t="s">
        <v>51</v>
      </c>
      <c r="X31" s="2" t="s">
        <v>51</v>
      </c>
      <c r="Y31" s="2" t="s">
        <v>51</v>
      </c>
      <c r="Z31" s="2" t="s">
        <v>51</v>
      </c>
      <c r="AA31" s="2" t="s">
        <v>51</v>
      </c>
      <c r="AB31" s="2" t="s">
        <v>51</v>
      </c>
      <c r="AC31" s="2" t="s">
        <v>51</v>
      </c>
      <c r="AD31" s="2" t="s">
        <v>51</v>
      </c>
      <c r="AE31" s="2" t="s">
        <v>51</v>
      </c>
      <c r="AF31" s="2" t="s">
        <v>51</v>
      </c>
      <c r="AG31" s="2" t="s">
        <v>51</v>
      </c>
      <c r="AH31" s="2" t="s">
        <v>51</v>
      </c>
      <c r="AI31" s="2" t="s">
        <v>82</v>
      </c>
      <c r="AJ31" s="2" t="s">
        <v>51</v>
      </c>
      <c r="AK31" s="2" t="s">
        <v>51</v>
      </c>
      <c r="AL31" s="2" t="s">
        <v>51</v>
      </c>
      <c r="AM31" s="2" t="s">
        <v>51</v>
      </c>
      <c r="AN31" s="2" t="s">
        <v>51</v>
      </c>
      <c r="AO31" s="2" t="s">
        <v>305</v>
      </c>
      <c r="AP31" s="2" t="s">
        <v>51</v>
      </c>
      <c r="AQ31" s="2" t="s">
        <v>51</v>
      </c>
      <c r="AR31" s="2" t="s">
        <v>51</v>
      </c>
      <c r="AS31" s="2" t="s">
        <v>51</v>
      </c>
      <c r="AT31" s="2" t="s">
        <v>51</v>
      </c>
      <c r="AU31" s="2" t="s">
        <v>51</v>
      </c>
      <c r="AV31" s="2" t="s">
        <v>51</v>
      </c>
      <c r="AW31" s="2" t="s">
        <v>51</v>
      </c>
      <c r="AX31" s="2" t="s">
        <v>51</v>
      </c>
      <c r="AY31" s="2" t="s">
        <v>51</v>
      </c>
      <c r="AZ31" s="2" t="s">
        <v>51</v>
      </c>
      <c r="BA31" s="2" t="s">
        <v>51</v>
      </c>
      <c r="BB31" s="2" t="s">
        <v>51</v>
      </c>
      <c r="BC31" s="2" t="s">
        <v>51</v>
      </c>
      <c r="BD31" s="2" t="s">
        <v>51</v>
      </c>
      <c r="BE31" s="2" t="s">
        <v>51</v>
      </c>
      <c r="BF31" s="2" t="s">
        <v>51</v>
      </c>
      <c r="BG31" s="2" t="s">
        <v>51</v>
      </c>
      <c r="BH31" s="2" t="s">
        <v>51</v>
      </c>
      <c r="BI31" s="2" t="s">
        <v>51</v>
      </c>
      <c r="BJ31" s="2" t="s">
        <v>51</v>
      </c>
      <c r="BK31" s="2" t="s">
        <v>51</v>
      </c>
      <c r="BL31" s="2" t="s">
        <v>51</v>
      </c>
      <c r="BM31" s="2" t="s">
        <v>51</v>
      </c>
      <c r="BN31" s="2" t="s">
        <v>51</v>
      </c>
      <c r="BO31" s="2" t="s">
        <v>51</v>
      </c>
      <c r="BP31" s="2" t="s">
        <v>51</v>
      </c>
      <c r="BQ31" s="2" t="s">
        <v>51</v>
      </c>
      <c r="BR31" s="2" t="s">
        <v>51</v>
      </c>
      <c r="BS31" s="2" t="s">
        <v>51</v>
      </c>
      <c r="BT31" s="2" t="s">
        <v>51</v>
      </c>
      <c r="BU31" s="2" t="s">
        <v>51</v>
      </c>
      <c r="BV31" s="2" t="s">
        <v>51</v>
      </c>
      <c r="BW31" s="2" t="s">
        <v>51</v>
      </c>
      <c r="BX31" s="2" t="s">
        <v>51</v>
      </c>
      <c r="BY31" s="2" t="s">
        <v>51</v>
      </c>
      <c r="BZ31" s="2" t="s">
        <v>51</v>
      </c>
      <c r="CA31" s="2" t="s">
        <v>51</v>
      </c>
      <c r="CB31" s="2" t="s">
        <v>51</v>
      </c>
      <c r="CC31" s="2" t="s">
        <v>51</v>
      </c>
      <c r="CD31" s="2" t="s">
        <v>51</v>
      </c>
      <c r="CE31" s="2" t="s">
        <v>51</v>
      </c>
      <c r="CF31" s="2" t="s">
        <v>51</v>
      </c>
      <c r="CG31" s="2" t="s">
        <v>306</v>
      </c>
      <c r="CH31" s="2" t="s">
        <v>306</v>
      </c>
      <c r="CI31" s="2" t="s">
        <v>306</v>
      </c>
      <c r="CJ31" s="2" t="s">
        <v>306</v>
      </c>
      <c r="CK31" s="2" t="s">
        <v>51</v>
      </c>
      <c r="CL31" s="2" t="s">
        <v>51</v>
      </c>
      <c r="CM31" s="2"/>
      <c r="CN31" s="2" t="s">
        <v>51</v>
      </c>
      <c r="CO31" s="2" t="s">
        <v>51</v>
      </c>
      <c r="CP31" s="2" t="s">
        <v>51</v>
      </c>
      <c r="CQ31" s="2" t="s">
        <v>51</v>
      </c>
      <c r="CR31" s="2" t="s">
        <v>51</v>
      </c>
    </row>
  </sheetData>
  <sheetProtection insertRows="0" deleteRows="0" autoFilter="0"/>
  <autoFilter ref="A4:CP4"/>
  <dataConsolidate/>
  <phoneticPr fontId="9"/>
  <dataValidations count="3">
    <dataValidation allowBlank="1" showInputMessage="1" showErrorMessage="1" prompt="フランジ数無視_x000d__x000a_エルボ数無視_x000d__x000a__x000d__x000a_" sqref="B6"/>
    <dataValidation allowBlank="1" showInputMessage="1" showErrorMessage="1" prompt="フランジ数無視_x000d__x000a_エルボ数無視_x000d__x000a_非溶接配管材質_x000d__x000a_溶接なし_x000d__x000a__x000d__x000a_" sqref="B9"/>
    <dataValidation allowBlank="1" showInputMessage="1" showErrorMessage="1" prompt="フランジ数無視_x000d__x000a_エルボ数無視_x000d__x000a_配管工事スキップ_x000d__x000a_溶接なし_x000d__x000a__x000d__x000a_" sqref="B10"/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12"/>
  <sheetViews>
    <sheetView showGridLines="0" zoomScaleNormal="100" workbookViewId="0">
      <selection activeCell="I7" sqref="I7:L11"/>
    </sheetView>
  </sheetViews>
  <sheetFormatPr defaultRowHeight="13.5"/>
  <cols>
    <col min="1" max="1" width="11.125" customWidth="1"/>
    <col min="2" max="23" width="5.625" customWidth="1"/>
  </cols>
  <sheetData>
    <row r="1" spans="1:23" s="15" customFormat="1" ht="10.5">
      <c r="A1" s="15" t="s">
        <v>292</v>
      </c>
      <c r="U1" s="136" t="s">
        <v>291</v>
      </c>
      <c r="V1" s="17" t="s">
        <v>106</v>
      </c>
      <c r="W1" s="17" t="s">
        <v>107</v>
      </c>
    </row>
    <row r="2" spans="1:23" s="15" customFormat="1" ht="10.5">
      <c r="U2" s="137" t="s">
        <v>293</v>
      </c>
      <c r="V2" s="141">
        <v>22</v>
      </c>
      <c r="W2" s="141">
        <v>22</v>
      </c>
    </row>
    <row r="3" spans="1:23" s="15" customFormat="1" ht="10.5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</row>
    <row r="4" spans="1:23" s="15" customFormat="1" ht="10.5">
      <c r="A4" s="85" t="s">
        <v>273</v>
      </c>
      <c r="B4" s="30" t="s">
        <v>109</v>
      </c>
      <c r="C4" s="31"/>
      <c r="D4" s="31"/>
      <c r="E4" s="31"/>
      <c r="F4" s="31"/>
      <c r="G4" s="31"/>
      <c r="H4" s="32"/>
      <c r="I4" s="30" t="s">
        <v>297</v>
      </c>
      <c r="J4" s="31"/>
      <c r="K4" s="31"/>
      <c r="L4" s="32"/>
      <c r="M4" s="30" t="s">
        <v>298</v>
      </c>
      <c r="N4" s="31"/>
      <c r="O4" s="31"/>
      <c r="P4" s="32"/>
      <c r="Q4" s="139" t="s">
        <v>281</v>
      </c>
      <c r="R4" s="140"/>
      <c r="S4" s="140"/>
      <c r="T4" s="32"/>
      <c r="U4" s="139" t="s">
        <v>288</v>
      </c>
      <c r="V4" s="140"/>
      <c r="W4" s="32"/>
    </row>
    <row r="5" spans="1:23" s="15" customFormat="1" ht="22.5" customHeight="1">
      <c r="A5" s="86" t="s">
        <v>112</v>
      </c>
      <c r="B5" s="85" t="s">
        <v>275</v>
      </c>
      <c r="C5" s="85" t="s">
        <v>114</v>
      </c>
      <c r="D5" s="138" t="s">
        <v>276</v>
      </c>
      <c r="E5" s="138" t="s">
        <v>277</v>
      </c>
      <c r="F5" s="138" t="s">
        <v>278</v>
      </c>
      <c r="G5" s="85" t="s">
        <v>279</v>
      </c>
      <c r="H5" s="138" t="s">
        <v>280</v>
      </c>
      <c r="I5" s="138" t="s">
        <v>304</v>
      </c>
      <c r="J5" s="36" t="s">
        <v>118</v>
      </c>
      <c r="K5" s="151" t="s">
        <v>299</v>
      </c>
      <c r="L5" s="36" t="s">
        <v>133</v>
      </c>
      <c r="M5" s="138" t="s">
        <v>303</v>
      </c>
      <c r="N5" s="36" t="s">
        <v>122</v>
      </c>
      <c r="O5" s="151" t="s">
        <v>299</v>
      </c>
      <c r="P5" s="36" t="s">
        <v>123</v>
      </c>
      <c r="Q5" s="134" t="s">
        <v>282</v>
      </c>
      <c r="R5" s="138" t="s">
        <v>283</v>
      </c>
      <c r="S5" s="134" t="s">
        <v>284</v>
      </c>
      <c r="T5" s="134" t="s">
        <v>288</v>
      </c>
      <c r="U5" s="134" t="s">
        <v>289</v>
      </c>
      <c r="V5" s="138" t="s">
        <v>290</v>
      </c>
      <c r="W5" s="134" t="s">
        <v>281</v>
      </c>
    </row>
    <row r="6" spans="1:23" s="15" customFormat="1" ht="10.5">
      <c r="A6" s="87"/>
      <c r="B6" s="87" t="s">
        <v>190</v>
      </c>
      <c r="C6" s="87" t="s">
        <v>125</v>
      </c>
      <c r="D6" s="87" t="s">
        <v>126</v>
      </c>
      <c r="E6" s="87" t="s">
        <v>148</v>
      </c>
      <c r="F6" s="87" t="s">
        <v>149</v>
      </c>
      <c r="G6" s="87" t="s">
        <v>179</v>
      </c>
      <c r="H6" s="87" t="s">
        <v>179</v>
      </c>
      <c r="I6" s="87" t="s">
        <v>150</v>
      </c>
      <c r="J6" s="38" t="s">
        <v>151</v>
      </c>
      <c r="K6" s="38" t="s">
        <v>287</v>
      </c>
      <c r="L6" s="38" t="s">
        <v>300</v>
      </c>
      <c r="M6" s="87" t="s">
        <v>128</v>
      </c>
      <c r="N6" s="38" t="s">
        <v>129</v>
      </c>
      <c r="O6" s="38" t="s">
        <v>301</v>
      </c>
      <c r="P6" s="38" t="s">
        <v>300</v>
      </c>
      <c r="Q6" s="135" t="s">
        <v>285</v>
      </c>
      <c r="R6" s="135" t="s">
        <v>286</v>
      </c>
      <c r="S6" s="135" t="s">
        <v>287</v>
      </c>
      <c r="T6" s="135" t="s">
        <v>302</v>
      </c>
      <c r="U6" s="135"/>
      <c r="V6" s="135"/>
      <c r="W6" s="135"/>
    </row>
    <row r="7" spans="1:23" s="15" customFormat="1" ht="23.25" customHeight="1">
      <c r="A7" s="88" t="s">
        <v>260</v>
      </c>
      <c r="B7" s="89">
        <v>50</v>
      </c>
      <c r="C7" s="89"/>
      <c r="D7" s="89">
        <v>84</v>
      </c>
      <c r="E7" s="89">
        <v>37.5</v>
      </c>
      <c r="F7" s="89">
        <v>21</v>
      </c>
      <c r="G7" s="89">
        <v>7</v>
      </c>
      <c r="H7" s="89">
        <v>5</v>
      </c>
      <c r="I7" s="152">
        <v>3.3000001907348633</v>
      </c>
      <c r="J7" s="152">
        <v>3.1785714541162764</v>
      </c>
      <c r="K7" s="152">
        <v>0.71714285441807335</v>
      </c>
      <c r="L7" s="152">
        <v>7.1957144992692132</v>
      </c>
      <c r="M7" s="89">
        <v>72.600004196166992</v>
      </c>
      <c r="N7" s="89">
        <v>69.928571990558083</v>
      </c>
      <c r="O7" s="89">
        <v>15.777142797197614</v>
      </c>
      <c r="P7" s="89">
        <v>158.3057189839227</v>
      </c>
      <c r="Q7" s="89">
        <v>8</v>
      </c>
      <c r="R7" s="89">
        <v>4.7150001525878906</v>
      </c>
      <c r="S7" s="89">
        <v>40.049999237060547</v>
      </c>
      <c r="T7" s="89">
        <v>211.07071837357114</v>
      </c>
      <c r="U7" s="89"/>
      <c r="V7" s="89"/>
      <c r="W7" s="89"/>
    </row>
    <row r="8" spans="1:23" s="15" customFormat="1" ht="23.25" customHeight="1">
      <c r="A8" s="88" t="s">
        <v>267</v>
      </c>
      <c r="B8" s="89">
        <v>25</v>
      </c>
      <c r="C8" s="89"/>
      <c r="D8" s="89">
        <v>136</v>
      </c>
      <c r="E8" s="89">
        <v>50</v>
      </c>
      <c r="F8" s="89">
        <v>84</v>
      </c>
      <c r="G8" s="89">
        <v>0</v>
      </c>
      <c r="H8" s="89">
        <v>3</v>
      </c>
      <c r="I8" s="152">
        <v>5.3428570883614679</v>
      </c>
      <c r="J8" s="152">
        <v>5.684714112962995</v>
      </c>
      <c r="K8" s="152">
        <v>0.57857145581926617</v>
      </c>
      <c r="L8" s="152">
        <v>11.60614265714373</v>
      </c>
      <c r="M8" s="89">
        <v>117.54285594395229</v>
      </c>
      <c r="N8" s="89">
        <v>125.06371048518589</v>
      </c>
      <c r="O8" s="89">
        <v>12.728572028023855</v>
      </c>
      <c r="P8" s="89">
        <v>255.33513845716203</v>
      </c>
      <c r="Q8" s="89">
        <v>17.5</v>
      </c>
      <c r="R8" s="89">
        <v>57.108001708984375</v>
      </c>
      <c r="S8" s="89">
        <v>0</v>
      </c>
      <c r="T8" s="89">
        <v>329.94314016614641</v>
      </c>
      <c r="U8" s="89"/>
      <c r="V8" s="89"/>
      <c r="W8" s="89"/>
    </row>
    <row r="9" spans="1:23" s="15" customFormat="1" ht="23.25" customHeight="1">
      <c r="A9" s="88" t="s">
        <v>261</v>
      </c>
      <c r="B9" s="89">
        <v>40</v>
      </c>
      <c r="C9" s="89"/>
      <c r="D9" s="89">
        <v>130.80000305175781</v>
      </c>
      <c r="E9" s="89">
        <v>40</v>
      </c>
      <c r="F9" s="89">
        <v>51</v>
      </c>
      <c r="G9" s="89">
        <v>6</v>
      </c>
      <c r="H9" s="89">
        <v>7</v>
      </c>
      <c r="I9" s="152">
        <v>6.9142862047467917</v>
      </c>
      <c r="J9" s="152">
        <v>7.0978572879518778</v>
      </c>
      <c r="K9" s="152">
        <v>0.67142854418073383</v>
      </c>
      <c r="L9" s="152">
        <v>14.683572036879402</v>
      </c>
      <c r="M9" s="89">
        <v>152.1142965044294</v>
      </c>
      <c r="N9" s="89">
        <v>156.15286033494132</v>
      </c>
      <c r="O9" s="89">
        <v>14.771427971976145</v>
      </c>
      <c r="P9" s="89">
        <v>323.03858481134688</v>
      </c>
      <c r="Q9" s="89">
        <v>19.600000381469727</v>
      </c>
      <c r="R9" s="89">
        <v>53.405998229980469</v>
      </c>
      <c r="S9" s="89">
        <v>110.39999389648437</v>
      </c>
      <c r="T9" s="89">
        <v>506.44457731928145</v>
      </c>
      <c r="U9" s="89"/>
      <c r="V9" s="89"/>
      <c r="W9" s="89"/>
    </row>
    <row r="10" spans="1:23" s="15" customFormat="1" ht="23.25" customHeight="1">
      <c r="A10" s="88" t="s">
        <v>265</v>
      </c>
      <c r="B10" s="89">
        <v>100</v>
      </c>
      <c r="C10" s="89"/>
      <c r="D10" s="89">
        <v>410</v>
      </c>
      <c r="E10" s="89">
        <v>150</v>
      </c>
      <c r="F10" s="89">
        <v>90</v>
      </c>
      <c r="G10" s="89">
        <v>2</v>
      </c>
      <c r="H10" s="89">
        <v>0</v>
      </c>
      <c r="I10" s="152">
        <v>11.644285474504743</v>
      </c>
      <c r="J10" s="152">
        <v>13.742857388087682</v>
      </c>
      <c r="K10" s="152">
        <v>0.19142857619694301</v>
      </c>
      <c r="L10" s="152">
        <v>25.578571438789371</v>
      </c>
      <c r="M10" s="89">
        <v>256.17428043910434</v>
      </c>
      <c r="N10" s="89">
        <v>302.34286253792902</v>
      </c>
      <c r="O10" s="89">
        <v>4.211428676332746</v>
      </c>
      <c r="P10" s="89">
        <v>562.72857165336609</v>
      </c>
      <c r="Q10" s="89">
        <v>337</v>
      </c>
      <c r="R10" s="89">
        <v>193.25401306152344</v>
      </c>
      <c r="S10" s="89">
        <v>44.400001525878906</v>
      </c>
      <c r="T10" s="89">
        <v>1137.3825862407684</v>
      </c>
      <c r="U10" s="89"/>
      <c r="V10" s="89"/>
      <c r="W10" s="89"/>
    </row>
    <row r="11" spans="1:23" s="15" customFormat="1" ht="23.25" customHeight="1">
      <c r="A11" s="88" t="s">
        <v>362</v>
      </c>
      <c r="B11" s="89">
        <v>50</v>
      </c>
      <c r="C11" s="89"/>
      <c r="D11" s="89">
        <v>194.5</v>
      </c>
      <c r="E11" s="89">
        <v>75</v>
      </c>
      <c r="F11" s="89">
        <v>0</v>
      </c>
      <c r="G11" s="89">
        <v>0</v>
      </c>
      <c r="H11" s="89">
        <v>0</v>
      </c>
      <c r="I11" s="152">
        <v>14.999999455043248</v>
      </c>
      <c r="J11" s="152">
        <v>0</v>
      </c>
      <c r="K11" s="152">
        <v>0</v>
      </c>
      <c r="L11" s="152">
        <v>14.999999455043248</v>
      </c>
      <c r="M11" s="89">
        <v>329.99998801095148</v>
      </c>
      <c r="N11" s="89">
        <v>0</v>
      </c>
      <c r="O11" s="89">
        <v>0</v>
      </c>
      <c r="P11" s="89">
        <v>329.99998801095148</v>
      </c>
      <c r="Q11" s="89">
        <v>360</v>
      </c>
      <c r="R11" s="89">
        <v>141.72000122070312</v>
      </c>
      <c r="S11" s="89">
        <v>0</v>
      </c>
      <c r="T11" s="89">
        <v>831.71998923165461</v>
      </c>
      <c r="U11" s="89"/>
      <c r="V11" s="89"/>
      <c r="W11" s="89"/>
    </row>
    <row r="12" spans="1:23" s="15" customFormat="1" ht="23.25" customHeight="1">
      <c r="A12" s="88"/>
      <c r="B12" s="89"/>
      <c r="C12" s="89"/>
      <c r="D12" s="89"/>
      <c r="E12" s="89"/>
      <c r="F12" s="89"/>
      <c r="G12" s="89"/>
      <c r="H12" s="89"/>
      <c r="I12" s="152"/>
      <c r="J12" s="152"/>
      <c r="K12" s="152"/>
      <c r="L12" s="152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</row>
  </sheetData>
  <phoneticPr fontId="9"/>
  <printOptions horizontalCentered="1"/>
  <pageMargins left="0.19685039370078741" right="0.19685039370078741" top="0.78740157480314965" bottom="0.39370078740157483" header="0.51181102362204722" footer="0.51181102362204722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0"/>
  <sheetViews>
    <sheetView showGridLines="0" zoomScaleNormal="100" workbookViewId="0">
      <selection activeCell="A3" sqref="A3:E15"/>
    </sheetView>
  </sheetViews>
  <sheetFormatPr defaultRowHeight="13.5"/>
  <cols>
    <col min="1" max="1" width="12.75" customWidth="1"/>
  </cols>
  <sheetData>
    <row r="1" spans="1:6" s="153" customFormat="1" ht="12">
      <c r="A1" s="154" t="s">
        <v>307</v>
      </c>
      <c r="B1" s="154" t="s">
        <v>308</v>
      </c>
      <c r="C1" s="154" t="s">
        <v>309</v>
      </c>
      <c r="D1" s="154" t="s">
        <v>310</v>
      </c>
      <c r="E1" s="154" t="s">
        <v>311</v>
      </c>
      <c r="F1" s="154" t="s">
        <v>312</v>
      </c>
    </row>
    <row r="2" spans="1:6" s="153" customFormat="1" ht="12">
      <c r="A2" s="154"/>
      <c r="B2" s="154"/>
      <c r="C2" s="154" t="s">
        <v>313</v>
      </c>
      <c r="D2" s="154" t="s">
        <v>314</v>
      </c>
      <c r="E2" s="154" t="s">
        <v>315</v>
      </c>
      <c r="F2" s="154" t="s">
        <v>316</v>
      </c>
    </row>
    <row r="3" spans="1:6">
      <c r="A3" t="s">
        <v>317</v>
      </c>
      <c r="B3" t="s">
        <v>260</v>
      </c>
      <c r="C3">
        <v>20</v>
      </c>
      <c r="D3">
        <v>1</v>
      </c>
    </row>
    <row r="4" spans="1:6">
      <c r="A4" t="s">
        <v>318</v>
      </c>
      <c r="B4" t="s">
        <v>260</v>
      </c>
      <c r="C4">
        <v>20</v>
      </c>
      <c r="D4">
        <v>2</v>
      </c>
    </row>
    <row r="5" spans="1:6">
      <c r="A5" t="s">
        <v>318</v>
      </c>
      <c r="B5" t="s">
        <v>263</v>
      </c>
      <c r="C5">
        <v>25</v>
      </c>
      <c r="D5">
        <v>3</v>
      </c>
    </row>
    <row r="6" spans="1:6">
      <c r="A6" t="s">
        <v>319</v>
      </c>
      <c r="B6" t="s">
        <v>260</v>
      </c>
      <c r="C6">
        <v>20</v>
      </c>
      <c r="D6">
        <v>3</v>
      </c>
    </row>
    <row r="7" spans="1:6">
      <c r="A7" t="s">
        <v>319</v>
      </c>
      <c r="B7" t="s">
        <v>263</v>
      </c>
      <c r="C7">
        <v>25</v>
      </c>
      <c r="D7">
        <v>1</v>
      </c>
    </row>
    <row r="8" spans="1:6">
      <c r="A8" t="s">
        <v>319</v>
      </c>
      <c r="B8" t="s">
        <v>266</v>
      </c>
      <c r="C8">
        <v>40</v>
      </c>
      <c r="D8">
        <v>2</v>
      </c>
    </row>
    <row r="9" spans="1:6">
      <c r="A9" t="s">
        <v>320</v>
      </c>
      <c r="B9" t="s">
        <v>260</v>
      </c>
      <c r="C9">
        <v>20</v>
      </c>
      <c r="D9">
        <v>1</v>
      </c>
    </row>
    <row r="10" spans="1:6">
      <c r="A10" t="s">
        <v>320</v>
      </c>
      <c r="B10" t="s">
        <v>263</v>
      </c>
      <c r="C10">
        <v>25</v>
      </c>
      <c r="D10">
        <v>2</v>
      </c>
    </row>
  </sheetData>
  <phoneticPr fontId="9"/>
  <printOptions horizontalCentered="1"/>
  <pageMargins left="0.19685039370078741" right="0.19685039370078741" top="0.78740157480314965" bottom="0.39370078740157483" header="0.51181102362204722" footer="0.51181102362204722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13"/>
  <sheetViews>
    <sheetView showGridLines="0" zoomScaleNormal="100" workbookViewId="0">
      <selection activeCell="I13" sqref="I13:L13"/>
    </sheetView>
  </sheetViews>
  <sheetFormatPr defaultRowHeight="13.5"/>
  <cols>
    <col min="1" max="1" width="18.625" style="166" customWidth="1"/>
    <col min="2" max="2" width="8.75" style="166" customWidth="1"/>
    <col min="3" max="8" width="9" style="166"/>
    <col min="9" max="11" width="6.875" style="166" customWidth="1"/>
    <col min="12" max="12" width="9" style="166"/>
    <col min="13" max="13" width="2.375" style="166" bestFit="1" customWidth="1"/>
    <col min="14" max="16384" width="9" style="166"/>
  </cols>
  <sheetData>
    <row r="1" spans="1:13" s="160" customFormat="1" ht="24">
      <c r="A1" s="155" t="s">
        <v>321</v>
      </c>
      <c r="B1" s="156" t="s">
        <v>354</v>
      </c>
      <c r="C1" s="157" t="s">
        <v>322</v>
      </c>
      <c r="D1" s="157" t="s">
        <v>324</v>
      </c>
      <c r="E1" s="157" t="s">
        <v>325</v>
      </c>
      <c r="F1" s="157" t="s">
        <v>348</v>
      </c>
      <c r="G1" s="168" t="s">
        <v>355</v>
      </c>
      <c r="H1" s="168" t="s">
        <v>356</v>
      </c>
      <c r="I1" s="157" t="s">
        <v>110</v>
      </c>
      <c r="J1" s="157" t="s">
        <v>327</v>
      </c>
      <c r="K1" s="168" t="s">
        <v>357</v>
      </c>
      <c r="L1" s="157" t="s">
        <v>123</v>
      </c>
      <c r="M1" s="159" t="s">
        <v>335</v>
      </c>
    </row>
    <row r="2" spans="1:13" s="160" customFormat="1" ht="12">
      <c r="A2" s="161"/>
      <c r="B2" s="161"/>
      <c r="C2" s="157" t="s">
        <v>323</v>
      </c>
      <c r="D2" s="157" t="s">
        <v>323</v>
      </c>
      <c r="E2" s="157" t="s">
        <v>190</v>
      </c>
      <c r="F2" s="157" t="s">
        <v>349</v>
      </c>
      <c r="G2" s="157" t="s">
        <v>347</v>
      </c>
      <c r="H2" s="162" t="s">
        <v>353</v>
      </c>
      <c r="I2" s="157" t="s">
        <v>326</v>
      </c>
      <c r="J2" s="157" t="s">
        <v>328</v>
      </c>
      <c r="K2" s="157" t="s">
        <v>329</v>
      </c>
      <c r="L2" s="157" t="s">
        <v>329</v>
      </c>
      <c r="M2" s="159" t="s">
        <v>336</v>
      </c>
    </row>
    <row r="3" spans="1:13" s="160" customFormat="1" ht="12">
      <c r="A3" s="161"/>
      <c r="B3" s="161"/>
      <c r="C3" s="157"/>
      <c r="D3" s="157"/>
      <c r="E3" s="157"/>
      <c r="F3" s="157"/>
      <c r="G3" s="157"/>
      <c r="H3" s="157"/>
      <c r="I3" s="157"/>
      <c r="J3" s="157"/>
      <c r="K3" s="157"/>
      <c r="L3" s="158"/>
      <c r="M3" s="159" t="s">
        <v>346</v>
      </c>
    </row>
    <row r="4" spans="1:13">
      <c r="A4" s="163" t="s">
        <v>332</v>
      </c>
      <c r="B4" s="169" t="s">
        <v>330</v>
      </c>
      <c r="C4" s="163">
        <v>1.5</v>
      </c>
      <c r="D4" s="163">
        <v>20</v>
      </c>
      <c r="E4" s="163">
        <v>8</v>
      </c>
      <c r="F4" s="164">
        <f>C4*D4*E4</f>
        <v>240</v>
      </c>
      <c r="G4" s="165">
        <f>IF(LOWER(B4)="b",0.05,IF(LOWER(B4)="p",0.08,IF(LOWER(B4)="h",0.12,0)))</f>
        <v>0.05</v>
      </c>
      <c r="H4" s="165">
        <f>MAX(1.1^CEILING((E4-10)/10,1),1)</f>
        <v>1</v>
      </c>
      <c r="I4" s="165">
        <f>PRODUCT(F4:H4)</f>
        <v>12</v>
      </c>
      <c r="J4" s="164">
        <f>I4*0.22*22</f>
        <v>58.080000000000005</v>
      </c>
      <c r="K4" s="164">
        <f>(I4*22+J4)*0.04</f>
        <v>12.8832</v>
      </c>
      <c r="L4" s="164">
        <f t="shared" ref="L4:L11" si="0">22*I4+J4+K4</f>
        <v>334.96319999999997</v>
      </c>
      <c r="M4" s="159" t="s">
        <v>337</v>
      </c>
    </row>
    <row r="5" spans="1:13">
      <c r="A5" s="163" t="s">
        <v>333</v>
      </c>
      <c r="B5" s="169" t="s">
        <v>150</v>
      </c>
      <c r="C5" s="163">
        <v>2</v>
      </c>
      <c r="D5" s="163">
        <v>15</v>
      </c>
      <c r="E5" s="163">
        <v>15</v>
      </c>
      <c r="F5" s="164">
        <f t="shared" ref="F5:F11" si="1">C5*D5*E5</f>
        <v>450</v>
      </c>
      <c r="G5" s="165">
        <f t="shared" ref="G5:G11" si="2">IF(LOWER(B5)="b",0.05,IF(LOWER(B5)="p",0.08,IF(LOWER(B5)="h",0.12,0)))</f>
        <v>0.08</v>
      </c>
      <c r="H5" s="165">
        <f t="shared" ref="H5:H11" si="3">MAX(1.1^CEILING((E5-10)/10,1),1)</f>
        <v>1.1000000000000001</v>
      </c>
      <c r="I5" s="165">
        <f t="shared" ref="I5:I11" si="4">PRODUCT(F5:H5)</f>
        <v>39.6</v>
      </c>
      <c r="J5" s="164">
        <f t="shared" ref="J5:J11" si="5">I5*0.22*22</f>
        <v>191.66399999999999</v>
      </c>
      <c r="K5" s="164">
        <f t="shared" ref="K5:K11" si="6">(I5*22+J5)*0.04</f>
        <v>42.514560000000003</v>
      </c>
      <c r="L5" s="164">
        <f t="shared" si="0"/>
        <v>1105.3785600000001</v>
      </c>
      <c r="M5" s="159" t="s">
        <v>336</v>
      </c>
    </row>
    <row r="6" spans="1:13">
      <c r="A6" s="163" t="s">
        <v>341</v>
      </c>
      <c r="B6" s="169" t="s">
        <v>345</v>
      </c>
      <c r="C6" s="163"/>
      <c r="D6" s="163"/>
      <c r="E6" s="163"/>
      <c r="F6" s="164">
        <f t="shared" si="1"/>
        <v>0</v>
      </c>
      <c r="G6" s="165">
        <f t="shared" si="2"/>
        <v>0.12</v>
      </c>
      <c r="H6" s="165">
        <f t="shared" si="3"/>
        <v>1</v>
      </c>
      <c r="I6" s="165">
        <f t="shared" si="4"/>
        <v>0</v>
      </c>
      <c r="J6" s="164">
        <f t="shared" si="5"/>
        <v>0</v>
      </c>
      <c r="K6" s="164">
        <f t="shared" si="6"/>
        <v>0</v>
      </c>
      <c r="L6" s="164">
        <f t="shared" si="0"/>
        <v>0</v>
      </c>
      <c r="M6" s="159" t="s">
        <v>337</v>
      </c>
    </row>
    <row r="7" spans="1:13">
      <c r="A7" s="163" t="s">
        <v>342</v>
      </c>
      <c r="B7" s="169" t="s">
        <v>330</v>
      </c>
      <c r="C7" s="163"/>
      <c r="D7" s="163"/>
      <c r="E7" s="163"/>
      <c r="F7" s="164">
        <f t="shared" si="1"/>
        <v>0</v>
      </c>
      <c r="G7" s="165">
        <f t="shared" si="2"/>
        <v>0.05</v>
      </c>
      <c r="H7" s="165">
        <f t="shared" si="3"/>
        <v>1</v>
      </c>
      <c r="I7" s="165">
        <f t="shared" si="4"/>
        <v>0</v>
      </c>
      <c r="J7" s="164">
        <f t="shared" si="5"/>
        <v>0</v>
      </c>
      <c r="K7" s="164">
        <f t="shared" si="6"/>
        <v>0</v>
      </c>
      <c r="L7" s="164">
        <f t="shared" si="0"/>
        <v>0</v>
      </c>
      <c r="M7" s="159" t="s">
        <v>336</v>
      </c>
    </row>
    <row r="8" spans="1:13">
      <c r="A8" s="163" t="s">
        <v>343</v>
      </c>
      <c r="B8" s="169" t="s">
        <v>358</v>
      </c>
      <c r="C8" s="163"/>
      <c r="D8" s="163"/>
      <c r="E8" s="163"/>
      <c r="F8" s="164">
        <f t="shared" si="1"/>
        <v>0</v>
      </c>
      <c r="G8" s="165">
        <f t="shared" si="2"/>
        <v>0.08</v>
      </c>
      <c r="H8" s="165">
        <f t="shared" si="3"/>
        <v>1</v>
      </c>
      <c r="I8" s="165">
        <f t="shared" si="4"/>
        <v>0</v>
      </c>
      <c r="J8" s="164">
        <f t="shared" si="5"/>
        <v>0</v>
      </c>
      <c r="K8" s="164">
        <f t="shared" si="6"/>
        <v>0</v>
      </c>
      <c r="L8" s="164">
        <f t="shared" si="0"/>
        <v>0</v>
      </c>
      <c r="M8" s="159" t="s">
        <v>338</v>
      </c>
    </row>
    <row r="9" spans="1:13">
      <c r="A9" s="163" t="s">
        <v>344</v>
      </c>
      <c r="B9" s="169" t="s">
        <v>345</v>
      </c>
      <c r="C9" s="163"/>
      <c r="D9" s="163"/>
      <c r="E9" s="163"/>
      <c r="F9" s="164">
        <f t="shared" si="1"/>
        <v>0</v>
      </c>
      <c r="G9" s="165">
        <f t="shared" si="2"/>
        <v>0.12</v>
      </c>
      <c r="H9" s="165">
        <f t="shared" si="3"/>
        <v>1</v>
      </c>
      <c r="I9" s="165">
        <f t="shared" si="4"/>
        <v>0</v>
      </c>
      <c r="J9" s="164">
        <f t="shared" si="5"/>
        <v>0</v>
      </c>
      <c r="K9" s="164">
        <f t="shared" si="6"/>
        <v>0</v>
      </c>
      <c r="L9" s="164">
        <f t="shared" si="0"/>
        <v>0</v>
      </c>
      <c r="M9" s="159" t="s">
        <v>339</v>
      </c>
    </row>
    <row r="10" spans="1:13">
      <c r="A10" s="163" t="s">
        <v>350</v>
      </c>
      <c r="B10" s="169" t="s">
        <v>331</v>
      </c>
      <c r="C10" s="163"/>
      <c r="D10" s="163"/>
      <c r="E10" s="163"/>
      <c r="F10" s="164">
        <f t="shared" si="1"/>
        <v>0</v>
      </c>
      <c r="G10" s="165">
        <f t="shared" si="2"/>
        <v>0.05</v>
      </c>
      <c r="H10" s="165">
        <f t="shared" si="3"/>
        <v>1</v>
      </c>
      <c r="I10" s="165">
        <f t="shared" si="4"/>
        <v>0</v>
      </c>
      <c r="J10" s="164">
        <f t="shared" si="5"/>
        <v>0</v>
      </c>
      <c r="K10" s="164">
        <f t="shared" si="6"/>
        <v>0</v>
      </c>
      <c r="L10" s="164">
        <f t="shared" si="0"/>
        <v>0</v>
      </c>
      <c r="M10" s="159" t="s">
        <v>336</v>
      </c>
    </row>
    <row r="11" spans="1:13">
      <c r="A11" s="163" t="s">
        <v>351</v>
      </c>
      <c r="B11" s="169" t="s">
        <v>352</v>
      </c>
      <c r="C11" s="163"/>
      <c r="D11" s="163"/>
      <c r="E11" s="163"/>
      <c r="F11" s="164">
        <f t="shared" si="1"/>
        <v>0</v>
      </c>
      <c r="G11" s="165">
        <f t="shared" si="2"/>
        <v>0.12</v>
      </c>
      <c r="H11" s="165">
        <f t="shared" si="3"/>
        <v>1</v>
      </c>
      <c r="I11" s="165">
        <f t="shared" si="4"/>
        <v>0</v>
      </c>
      <c r="J11" s="164">
        <f t="shared" si="5"/>
        <v>0</v>
      </c>
      <c r="K11" s="164">
        <f t="shared" si="6"/>
        <v>0</v>
      </c>
      <c r="L11" s="164">
        <f t="shared" si="0"/>
        <v>0</v>
      </c>
      <c r="M11" s="159" t="s">
        <v>336</v>
      </c>
    </row>
    <row r="12" spans="1:13">
      <c r="A12" s="167" t="s">
        <v>334</v>
      </c>
      <c r="B12" s="167" t="s">
        <v>334</v>
      </c>
      <c r="C12" s="167" t="s">
        <v>334</v>
      </c>
      <c r="D12" s="167" t="s">
        <v>334</v>
      </c>
      <c r="E12" s="167" t="s">
        <v>334</v>
      </c>
      <c r="F12" s="167"/>
      <c r="G12" s="167"/>
      <c r="H12" s="167"/>
      <c r="I12" s="167" t="s">
        <v>334</v>
      </c>
      <c r="J12" s="167" t="s">
        <v>334</v>
      </c>
      <c r="K12" s="167" t="s">
        <v>334</v>
      </c>
      <c r="L12" s="167" t="s">
        <v>334</v>
      </c>
      <c r="M12" s="159" t="s">
        <v>340</v>
      </c>
    </row>
    <row r="13" spans="1:13">
      <c r="H13" s="170" t="s">
        <v>123</v>
      </c>
      <c r="I13" s="171">
        <f>SUM(I4:I12)</f>
        <v>51.6</v>
      </c>
      <c r="J13" s="172">
        <f t="shared" ref="J13:L13" si="7">SUM(J4:J12)</f>
        <v>249.744</v>
      </c>
      <c r="K13" s="172">
        <f t="shared" si="7"/>
        <v>55.397760000000005</v>
      </c>
      <c r="L13" s="172">
        <f t="shared" si="7"/>
        <v>1440.34176</v>
      </c>
    </row>
  </sheetData>
  <autoFilter ref="A3:O3"/>
  <phoneticPr fontId="9"/>
  <printOptions horizontalCentered="1"/>
  <pageMargins left="0.19685039370078741" right="0.19685039370078741" top="0.78740157480314965" bottom="0.39370078740157483" header="0.51181102362204722" footer="0.51181102362204722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48"/>
  <sheetViews>
    <sheetView showGridLines="0" zoomScaleNormal="100" workbookViewId="0">
      <selection activeCell="L9" sqref="L9"/>
    </sheetView>
  </sheetViews>
  <sheetFormatPr defaultRowHeight="10.5"/>
  <cols>
    <col min="1" max="1" width="11.125" style="15" customWidth="1"/>
    <col min="2" max="17" width="7.625" style="15" customWidth="1"/>
    <col min="18" max="18" width="10.625" style="15" customWidth="1"/>
    <col min="19" max="16384" width="9" style="15"/>
  </cols>
  <sheetData>
    <row r="1" spans="1:18">
      <c r="A1" s="15" t="s">
        <v>104</v>
      </c>
      <c r="D1" s="16"/>
      <c r="E1" s="16"/>
      <c r="F1" s="16"/>
      <c r="H1" s="16"/>
      <c r="I1" s="16"/>
      <c r="J1" s="16"/>
      <c r="K1" s="16"/>
      <c r="O1" s="17" t="s">
        <v>105</v>
      </c>
      <c r="P1" s="18" t="s">
        <v>106</v>
      </c>
      <c r="Q1" s="19" t="s">
        <v>107</v>
      </c>
    </row>
    <row r="2" spans="1:18">
      <c r="E2" s="20"/>
      <c r="F2" s="16"/>
      <c r="H2" s="16"/>
      <c r="I2" s="16"/>
      <c r="J2" s="16"/>
      <c r="K2" s="16"/>
      <c r="L2" s="16"/>
      <c r="O2" s="21" t="s">
        <v>154</v>
      </c>
      <c r="P2" s="22">
        <v>22000</v>
      </c>
      <c r="Q2" s="23">
        <v>25000</v>
      </c>
    </row>
    <row r="3" spans="1:18">
      <c r="A3" s="24"/>
      <c r="B3" s="24"/>
      <c r="C3" s="25"/>
      <c r="D3" s="26"/>
      <c r="E3" s="26"/>
      <c r="F3" s="25"/>
      <c r="G3" s="24"/>
      <c r="H3" s="25"/>
      <c r="I3" s="25"/>
      <c r="J3" s="25"/>
      <c r="K3" s="25"/>
      <c r="L3" s="24"/>
      <c r="O3" s="27" t="s">
        <v>155</v>
      </c>
      <c r="P3" s="28">
        <v>23000</v>
      </c>
      <c r="Q3" s="29">
        <v>27000</v>
      </c>
    </row>
    <row r="4" spans="1:18">
      <c r="A4" s="55" t="s">
        <v>108</v>
      </c>
      <c r="B4" s="30" t="s">
        <v>109</v>
      </c>
      <c r="C4" s="31"/>
      <c r="D4" s="31"/>
      <c r="E4" s="31"/>
      <c r="F4" s="32"/>
      <c r="G4" s="55" t="s">
        <v>156</v>
      </c>
      <c r="H4" s="33"/>
      <c r="I4" s="34"/>
      <c r="J4" s="30" t="s">
        <v>110</v>
      </c>
      <c r="K4" s="31"/>
      <c r="L4" s="31"/>
      <c r="M4" s="32"/>
      <c r="N4" s="30" t="s">
        <v>111</v>
      </c>
      <c r="O4" s="31"/>
      <c r="P4" s="31"/>
      <c r="Q4" s="32"/>
      <c r="R4" s="35"/>
    </row>
    <row r="5" spans="1:18">
      <c r="A5" s="56" t="s">
        <v>112</v>
      </c>
      <c r="B5" s="55" t="s">
        <v>113</v>
      </c>
      <c r="C5" s="55" t="s">
        <v>114</v>
      </c>
      <c r="D5" s="55" t="s">
        <v>157</v>
      </c>
      <c r="E5" s="55" t="s">
        <v>115</v>
      </c>
      <c r="F5" s="55" t="s">
        <v>158</v>
      </c>
      <c r="G5" s="56" t="s">
        <v>116</v>
      </c>
      <c r="H5" s="55" t="s">
        <v>159</v>
      </c>
      <c r="I5" s="36" t="s">
        <v>158</v>
      </c>
      <c r="J5" s="55" t="s">
        <v>117</v>
      </c>
      <c r="K5" s="36" t="s">
        <v>118</v>
      </c>
      <c r="L5" s="36" t="s">
        <v>119</v>
      </c>
      <c r="M5" s="36" t="s">
        <v>120</v>
      </c>
      <c r="N5" s="55" t="s">
        <v>121</v>
      </c>
      <c r="O5" s="36" t="s">
        <v>122</v>
      </c>
      <c r="P5" s="36" t="s">
        <v>119</v>
      </c>
      <c r="Q5" s="36" t="s">
        <v>123</v>
      </c>
      <c r="R5" s="56" t="s">
        <v>124</v>
      </c>
    </row>
    <row r="6" spans="1:18">
      <c r="A6" s="57"/>
      <c r="B6" s="57" t="s">
        <v>147</v>
      </c>
      <c r="C6" s="57" t="s">
        <v>125</v>
      </c>
      <c r="D6" s="57" t="s">
        <v>148</v>
      </c>
      <c r="E6" s="57" t="s">
        <v>126</v>
      </c>
      <c r="F6" s="57" t="s">
        <v>149</v>
      </c>
      <c r="G6" s="57"/>
      <c r="H6" s="57" t="s">
        <v>127</v>
      </c>
      <c r="I6" s="37" t="s">
        <v>149</v>
      </c>
      <c r="J6" s="57" t="s">
        <v>150</v>
      </c>
      <c r="K6" s="38" t="s">
        <v>151</v>
      </c>
      <c r="L6" s="38" t="s">
        <v>152</v>
      </c>
      <c r="M6" s="38" t="s">
        <v>153</v>
      </c>
      <c r="N6" s="57" t="s">
        <v>128</v>
      </c>
      <c r="O6" s="38" t="s">
        <v>129</v>
      </c>
      <c r="P6" s="38" t="s">
        <v>152</v>
      </c>
      <c r="Q6" s="38" t="s">
        <v>153</v>
      </c>
      <c r="R6" s="56"/>
    </row>
    <row r="7" spans="1:18">
      <c r="A7" s="39" t="s">
        <v>130</v>
      </c>
      <c r="B7" s="176">
        <v>12243</v>
      </c>
      <c r="C7" s="176"/>
      <c r="D7" s="176">
        <v>73744</v>
      </c>
      <c r="E7" s="176">
        <v>371974.90300655365</v>
      </c>
      <c r="F7" s="176">
        <v>44851</v>
      </c>
      <c r="G7" s="21" t="s">
        <v>131</v>
      </c>
      <c r="H7" s="40">
        <v>35</v>
      </c>
      <c r="I7" s="40">
        <v>15697.85</v>
      </c>
      <c r="J7" s="40">
        <v>396</v>
      </c>
      <c r="K7" s="40">
        <v>198</v>
      </c>
      <c r="L7" s="40">
        <v>59</v>
      </c>
      <c r="M7" s="40">
        <v>653</v>
      </c>
      <c r="N7" s="40">
        <f>J7*$P$2/1000</f>
        <v>8712</v>
      </c>
      <c r="O7" s="40">
        <f>K7*$Q$2/1000</f>
        <v>4950</v>
      </c>
      <c r="P7" s="40">
        <f>L7*$P$2/1000</f>
        <v>1298</v>
      </c>
      <c r="Q7" s="40">
        <f t="shared" ref="Q7:Q45" si="0">SUM(N7:P7)</f>
        <v>14960</v>
      </c>
      <c r="R7" s="54">
        <f>M9</f>
        <v>3605</v>
      </c>
    </row>
    <row r="8" spans="1:18">
      <c r="A8" s="41">
        <v>40</v>
      </c>
      <c r="B8" s="177"/>
      <c r="C8" s="177"/>
      <c r="D8" s="177"/>
      <c r="E8" s="177"/>
      <c r="F8" s="177"/>
      <c r="G8" s="42" t="s">
        <v>132</v>
      </c>
      <c r="H8" s="43">
        <v>65</v>
      </c>
      <c r="I8" s="43">
        <v>29153.15</v>
      </c>
      <c r="J8" s="43">
        <v>2214</v>
      </c>
      <c r="K8" s="43">
        <v>738</v>
      </c>
      <c r="L8" s="43"/>
      <c r="M8" s="43">
        <v>2952</v>
      </c>
      <c r="N8" s="43">
        <f>J8*$P$3/1000</f>
        <v>50922</v>
      </c>
      <c r="O8" s="43">
        <f>K8*$Q$3/1000</f>
        <v>19926</v>
      </c>
      <c r="P8" s="43">
        <f>L8*$P$3/1000</f>
        <v>0</v>
      </c>
      <c r="Q8" s="43">
        <f t="shared" si="0"/>
        <v>70848</v>
      </c>
      <c r="R8" s="44"/>
    </row>
    <row r="9" spans="1:18">
      <c r="A9" s="45"/>
      <c r="B9" s="178"/>
      <c r="C9" s="178"/>
      <c r="D9" s="178"/>
      <c r="E9" s="178"/>
      <c r="F9" s="178"/>
      <c r="G9" s="27" t="s">
        <v>133</v>
      </c>
      <c r="H9" s="46">
        <f t="shared" ref="H9:P9" si="1">SUM(H7:H8)</f>
        <v>100</v>
      </c>
      <c r="I9" s="46">
        <f>SUM(I7:I8)</f>
        <v>44851</v>
      </c>
      <c r="J9" s="46">
        <f t="shared" si="1"/>
        <v>2610</v>
      </c>
      <c r="K9" s="46">
        <f t="shared" si="1"/>
        <v>936</v>
      </c>
      <c r="L9" s="46">
        <f t="shared" si="1"/>
        <v>59</v>
      </c>
      <c r="M9" s="46">
        <f t="shared" si="1"/>
        <v>3605</v>
      </c>
      <c r="N9" s="46">
        <f t="shared" si="1"/>
        <v>59634</v>
      </c>
      <c r="O9" s="46">
        <f t="shared" si="1"/>
        <v>24876</v>
      </c>
      <c r="P9" s="46">
        <f t="shared" si="1"/>
        <v>1298</v>
      </c>
      <c r="Q9" s="46">
        <f t="shared" si="0"/>
        <v>85808</v>
      </c>
      <c r="R9" s="46">
        <f>Q9*1000</f>
        <v>85808000</v>
      </c>
    </row>
    <row r="10" spans="1:18">
      <c r="A10" s="39" t="s">
        <v>134</v>
      </c>
      <c r="B10" s="176">
        <v>1626</v>
      </c>
      <c r="C10" s="176"/>
      <c r="D10" s="176">
        <v>1901</v>
      </c>
      <c r="E10" s="176">
        <v>5468.6899217367172</v>
      </c>
      <c r="F10" s="176">
        <v>2295</v>
      </c>
      <c r="G10" s="21" t="s">
        <v>131</v>
      </c>
      <c r="H10" s="40">
        <v>55</v>
      </c>
      <c r="I10" s="40">
        <v>1262.25</v>
      </c>
      <c r="J10" s="40">
        <v>36</v>
      </c>
      <c r="K10" s="40">
        <v>18</v>
      </c>
      <c r="L10" s="40">
        <v>5</v>
      </c>
      <c r="M10" s="40">
        <v>59</v>
      </c>
      <c r="N10" s="40">
        <f>J10*$P$2/1000</f>
        <v>792</v>
      </c>
      <c r="O10" s="40">
        <f>K10*$Q$2/1000</f>
        <v>450</v>
      </c>
      <c r="P10" s="40">
        <f>L10*$P$2/1000</f>
        <v>110</v>
      </c>
      <c r="Q10" s="40">
        <f t="shared" si="0"/>
        <v>1352</v>
      </c>
      <c r="R10" s="54">
        <f>M12</f>
        <v>175</v>
      </c>
    </row>
    <row r="11" spans="1:18">
      <c r="A11" s="41">
        <v>80</v>
      </c>
      <c r="B11" s="177"/>
      <c r="C11" s="177"/>
      <c r="D11" s="177"/>
      <c r="E11" s="177"/>
      <c r="F11" s="177"/>
      <c r="G11" s="42" t="s">
        <v>132</v>
      </c>
      <c r="H11" s="43">
        <v>45</v>
      </c>
      <c r="I11" s="43">
        <v>1032.75</v>
      </c>
      <c r="J11" s="43">
        <v>87</v>
      </c>
      <c r="K11" s="43">
        <v>29</v>
      </c>
      <c r="L11" s="43"/>
      <c r="M11" s="43">
        <v>116</v>
      </c>
      <c r="N11" s="43">
        <f>J11*$P$3/1000</f>
        <v>2001</v>
      </c>
      <c r="O11" s="43">
        <f>K11*$Q$3/1000</f>
        <v>783</v>
      </c>
      <c r="P11" s="43">
        <f>L11*$P$3/1000</f>
        <v>0</v>
      </c>
      <c r="Q11" s="43">
        <f t="shared" si="0"/>
        <v>2784</v>
      </c>
      <c r="R11" s="44"/>
    </row>
    <row r="12" spans="1:18">
      <c r="A12" s="45"/>
      <c r="B12" s="178"/>
      <c r="C12" s="178"/>
      <c r="D12" s="178"/>
      <c r="E12" s="178"/>
      <c r="F12" s="178"/>
      <c r="G12" s="27" t="s">
        <v>133</v>
      </c>
      <c r="H12" s="46">
        <f t="shared" ref="H12:P12" si="2">SUM(H10:H11)</f>
        <v>100</v>
      </c>
      <c r="I12" s="46">
        <f t="shared" si="2"/>
        <v>2295</v>
      </c>
      <c r="J12" s="46">
        <f t="shared" si="2"/>
        <v>123</v>
      </c>
      <c r="K12" s="46">
        <f t="shared" si="2"/>
        <v>47</v>
      </c>
      <c r="L12" s="46">
        <f t="shared" si="2"/>
        <v>5</v>
      </c>
      <c r="M12" s="46">
        <f t="shared" si="2"/>
        <v>175</v>
      </c>
      <c r="N12" s="46">
        <f t="shared" si="2"/>
        <v>2793</v>
      </c>
      <c r="O12" s="46">
        <f t="shared" si="2"/>
        <v>1233</v>
      </c>
      <c r="P12" s="46">
        <f t="shared" si="2"/>
        <v>110</v>
      </c>
      <c r="Q12" s="46">
        <f t="shared" si="0"/>
        <v>4136</v>
      </c>
      <c r="R12" s="46">
        <f>Q12*1000</f>
        <v>4136000</v>
      </c>
    </row>
    <row r="13" spans="1:18">
      <c r="A13" s="39" t="s">
        <v>135</v>
      </c>
      <c r="B13" s="176">
        <v>450</v>
      </c>
      <c r="C13" s="176"/>
      <c r="D13" s="176">
        <v>572.5</v>
      </c>
      <c r="E13" s="176">
        <v>1205.2999830245972</v>
      </c>
      <c r="F13" s="176">
        <v>718</v>
      </c>
      <c r="G13" s="21" t="s">
        <v>131</v>
      </c>
      <c r="H13" s="40">
        <v>20</v>
      </c>
      <c r="I13" s="40">
        <v>143.6</v>
      </c>
      <c r="J13" s="40">
        <v>4</v>
      </c>
      <c r="K13" s="40">
        <v>2</v>
      </c>
      <c r="L13" s="40">
        <v>0</v>
      </c>
      <c r="M13" s="40">
        <v>6</v>
      </c>
      <c r="N13" s="40">
        <f>J13*$P$2/1000</f>
        <v>88</v>
      </c>
      <c r="O13" s="40">
        <f>K13*$Q$2/1000</f>
        <v>50</v>
      </c>
      <c r="P13" s="40">
        <f>L13*$P$2/1000</f>
        <v>0</v>
      </c>
      <c r="Q13" s="40">
        <f t="shared" si="0"/>
        <v>138</v>
      </c>
      <c r="R13" s="54">
        <f>M15</f>
        <v>78</v>
      </c>
    </row>
    <row r="14" spans="1:18">
      <c r="A14" s="41" t="s">
        <v>136</v>
      </c>
      <c r="B14" s="177"/>
      <c r="C14" s="177"/>
      <c r="D14" s="177"/>
      <c r="E14" s="177"/>
      <c r="F14" s="177"/>
      <c r="G14" s="42" t="s">
        <v>132</v>
      </c>
      <c r="H14" s="43">
        <v>80</v>
      </c>
      <c r="I14" s="43">
        <v>574.4</v>
      </c>
      <c r="J14" s="43">
        <v>54</v>
      </c>
      <c r="K14" s="43">
        <v>18</v>
      </c>
      <c r="L14" s="43"/>
      <c r="M14" s="43">
        <v>72</v>
      </c>
      <c r="N14" s="43">
        <f>J14*$P$3/1000</f>
        <v>1242</v>
      </c>
      <c r="O14" s="43">
        <f>K14*$Q$3/1000</f>
        <v>486</v>
      </c>
      <c r="P14" s="43">
        <f>L14*$P$3/1000</f>
        <v>0</v>
      </c>
      <c r="Q14" s="43">
        <f t="shared" si="0"/>
        <v>1728</v>
      </c>
      <c r="R14" s="44"/>
    </row>
    <row r="15" spans="1:18">
      <c r="A15" s="45"/>
      <c r="B15" s="178"/>
      <c r="C15" s="178"/>
      <c r="D15" s="178"/>
      <c r="E15" s="178"/>
      <c r="F15" s="178"/>
      <c r="G15" s="27" t="s">
        <v>133</v>
      </c>
      <c r="H15" s="46">
        <f t="shared" ref="H15:P15" si="3">SUM(H13:H14)</f>
        <v>100</v>
      </c>
      <c r="I15" s="46">
        <f t="shared" si="3"/>
        <v>718</v>
      </c>
      <c r="J15" s="46">
        <f t="shared" si="3"/>
        <v>58</v>
      </c>
      <c r="K15" s="46">
        <f t="shared" si="3"/>
        <v>20</v>
      </c>
      <c r="L15" s="46">
        <f t="shared" si="3"/>
        <v>0</v>
      </c>
      <c r="M15" s="46">
        <f t="shared" si="3"/>
        <v>78</v>
      </c>
      <c r="N15" s="46">
        <f t="shared" si="3"/>
        <v>1330</v>
      </c>
      <c r="O15" s="46">
        <f t="shared" si="3"/>
        <v>536</v>
      </c>
      <c r="P15" s="46">
        <f t="shared" si="3"/>
        <v>0</v>
      </c>
      <c r="Q15" s="46">
        <f t="shared" si="0"/>
        <v>1866</v>
      </c>
      <c r="R15" s="46">
        <f>Q15*1000</f>
        <v>1866000</v>
      </c>
    </row>
    <row r="16" spans="1:18">
      <c r="A16" s="39" t="s">
        <v>135</v>
      </c>
      <c r="B16" s="176">
        <v>570</v>
      </c>
      <c r="C16" s="176"/>
      <c r="D16" s="176">
        <v>1025</v>
      </c>
      <c r="E16" s="176">
        <v>3167.2999966144562</v>
      </c>
      <c r="F16" s="176">
        <v>1472</v>
      </c>
      <c r="G16" s="21" t="s">
        <v>131</v>
      </c>
      <c r="H16" s="40">
        <v>0</v>
      </c>
      <c r="I16" s="40">
        <v>0</v>
      </c>
      <c r="J16" s="40">
        <v>0</v>
      </c>
      <c r="K16" s="40">
        <v>0</v>
      </c>
      <c r="L16" s="40">
        <v>0</v>
      </c>
      <c r="M16" s="40">
        <v>0</v>
      </c>
      <c r="N16" s="40">
        <f>J16*$P$2/1000</f>
        <v>0</v>
      </c>
      <c r="O16" s="40">
        <f>K16*$Q$2/1000</f>
        <v>0</v>
      </c>
      <c r="P16" s="40">
        <f>L16*$P$2/1000</f>
        <v>0</v>
      </c>
      <c r="Q16" s="40">
        <f t="shared" si="0"/>
        <v>0</v>
      </c>
      <c r="R16" s="54">
        <f>M18</f>
        <v>196</v>
      </c>
    </row>
    <row r="17" spans="1:18">
      <c r="A17" s="41">
        <v>40</v>
      </c>
      <c r="B17" s="177"/>
      <c r="C17" s="177"/>
      <c r="D17" s="177"/>
      <c r="E17" s="177"/>
      <c r="F17" s="177"/>
      <c r="G17" s="42" t="s">
        <v>132</v>
      </c>
      <c r="H17" s="43">
        <v>100</v>
      </c>
      <c r="I17" s="43">
        <v>1472</v>
      </c>
      <c r="J17" s="43">
        <v>147</v>
      </c>
      <c r="K17" s="43">
        <v>49</v>
      </c>
      <c r="L17" s="43"/>
      <c r="M17" s="43">
        <v>196</v>
      </c>
      <c r="N17" s="43">
        <f>J17*$P$3/1000</f>
        <v>3381</v>
      </c>
      <c r="O17" s="43">
        <f>K17*$Q$3/1000</f>
        <v>1323</v>
      </c>
      <c r="P17" s="43">
        <f>L17*$P$3/1000</f>
        <v>0</v>
      </c>
      <c r="Q17" s="43">
        <f t="shared" si="0"/>
        <v>4704</v>
      </c>
      <c r="R17" s="44"/>
    </row>
    <row r="18" spans="1:18">
      <c r="A18" s="45"/>
      <c r="B18" s="178"/>
      <c r="C18" s="178"/>
      <c r="D18" s="178"/>
      <c r="E18" s="178"/>
      <c r="F18" s="178"/>
      <c r="G18" s="27" t="s">
        <v>133</v>
      </c>
      <c r="H18" s="46">
        <f t="shared" ref="H18:P18" si="4">SUM(H16:H17)</f>
        <v>100</v>
      </c>
      <c r="I18" s="46">
        <f t="shared" si="4"/>
        <v>1472</v>
      </c>
      <c r="J18" s="46">
        <f t="shared" si="4"/>
        <v>147</v>
      </c>
      <c r="K18" s="46">
        <f t="shared" si="4"/>
        <v>49</v>
      </c>
      <c r="L18" s="46">
        <f t="shared" si="4"/>
        <v>0</v>
      </c>
      <c r="M18" s="46">
        <f t="shared" si="4"/>
        <v>196</v>
      </c>
      <c r="N18" s="46">
        <f t="shared" si="4"/>
        <v>3381</v>
      </c>
      <c r="O18" s="46">
        <f t="shared" si="4"/>
        <v>1323</v>
      </c>
      <c r="P18" s="46">
        <f t="shared" si="4"/>
        <v>0</v>
      </c>
      <c r="Q18" s="46">
        <f t="shared" si="0"/>
        <v>4704</v>
      </c>
      <c r="R18" s="46">
        <f>Q18*1000</f>
        <v>4704000</v>
      </c>
    </row>
    <row r="19" spans="1:18">
      <c r="A19" s="39" t="s">
        <v>137</v>
      </c>
      <c r="B19" s="176">
        <v>400</v>
      </c>
      <c r="C19" s="176"/>
      <c r="D19" s="176">
        <v>500</v>
      </c>
      <c r="E19" s="176">
        <v>1559.4999849796295</v>
      </c>
      <c r="F19" s="176">
        <v>670</v>
      </c>
      <c r="G19" s="21" t="s">
        <v>131</v>
      </c>
      <c r="H19" s="40">
        <v>0</v>
      </c>
      <c r="I19" s="40">
        <v>0</v>
      </c>
      <c r="J19" s="40">
        <v>0</v>
      </c>
      <c r="K19" s="40">
        <v>0</v>
      </c>
      <c r="L19" s="40">
        <v>0</v>
      </c>
      <c r="M19" s="40">
        <v>0</v>
      </c>
      <c r="N19" s="40">
        <f>J19*$P$2/1000</f>
        <v>0</v>
      </c>
      <c r="O19" s="40">
        <f>K19*$Q$2/1000</f>
        <v>0</v>
      </c>
      <c r="P19" s="40">
        <f>L19*$P$2/1000</f>
        <v>0</v>
      </c>
      <c r="Q19" s="40">
        <f t="shared" si="0"/>
        <v>0</v>
      </c>
      <c r="R19" s="54">
        <f>M21</f>
        <v>96</v>
      </c>
    </row>
    <row r="20" spans="1:18">
      <c r="A20" s="41">
        <v>80</v>
      </c>
      <c r="B20" s="177"/>
      <c r="C20" s="177"/>
      <c r="D20" s="177"/>
      <c r="E20" s="177"/>
      <c r="F20" s="177"/>
      <c r="G20" s="42" t="s">
        <v>132</v>
      </c>
      <c r="H20" s="43">
        <v>100</v>
      </c>
      <c r="I20" s="43">
        <v>670</v>
      </c>
      <c r="J20" s="43">
        <v>72</v>
      </c>
      <c r="K20" s="43">
        <v>24</v>
      </c>
      <c r="L20" s="43"/>
      <c r="M20" s="43">
        <v>96</v>
      </c>
      <c r="N20" s="43">
        <f>J20*$P$3/1000</f>
        <v>1656</v>
      </c>
      <c r="O20" s="43">
        <f>K20*$Q$3/1000</f>
        <v>648</v>
      </c>
      <c r="P20" s="43">
        <f>L20*$P$3/1000</f>
        <v>0</v>
      </c>
      <c r="Q20" s="43">
        <f t="shared" si="0"/>
        <v>2304</v>
      </c>
      <c r="R20" s="44"/>
    </row>
    <row r="21" spans="1:18">
      <c r="A21" s="45"/>
      <c r="B21" s="178"/>
      <c r="C21" s="178"/>
      <c r="D21" s="178"/>
      <c r="E21" s="178"/>
      <c r="F21" s="178"/>
      <c r="G21" s="27" t="s">
        <v>133</v>
      </c>
      <c r="H21" s="46">
        <f t="shared" ref="H21:P21" si="5">SUM(H19:H20)</f>
        <v>100</v>
      </c>
      <c r="I21" s="46">
        <f t="shared" si="5"/>
        <v>670</v>
      </c>
      <c r="J21" s="46">
        <f t="shared" si="5"/>
        <v>72</v>
      </c>
      <c r="K21" s="46">
        <f t="shared" si="5"/>
        <v>24</v>
      </c>
      <c r="L21" s="46">
        <f t="shared" si="5"/>
        <v>0</v>
      </c>
      <c r="M21" s="46">
        <f t="shared" si="5"/>
        <v>96</v>
      </c>
      <c r="N21" s="46">
        <f t="shared" si="5"/>
        <v>1656</v>
      </c>
      <c r="O21" s="46">
        <f t="shared" si="5"/>
        <v>648</v>
      </c>
      <c r="P21" s="46">
        <f t="shared" si="5"/>
        <v>0</v>
      </c>
      <c r="Q21" s="46">
        <f t="shared" si="0"/>
        <v>2304</v>
      </c>
      <c r="R21" s="46">
        <f>Q21*1000</f>
        <v>2304000</v>
      </c>
    </row>
    <row r="22" spans="1:18">
      <c r="A22" s="39" t="s">
        <v>137</v>
      </c>
      <c r="B22" s="176">
        <v>350</v>
      </c>
      <c r="C22" s="176"/>
      <c r="D22" s="176">
        <v>375</v>
      </c>
      <c r="E22" s="176">
        <v>1544.0000295639038</v>
      </c>
      <c r="F22" s="176">
        <v>380</v>
      </c>
      <c r="G22" s="21" t="s">
        <v>131</v>
      </c>
      <c r="H22" s="40">
        <v>45</v>
      </c>
      <c r="I22" s="40">
        <v>171</v>
      </c>
      <c r="J22" s="40">
        <v>8</v>
      </c>
      <c r="K22" s="40">
        <v>4</v>
      </c>
      <c r="L22" s="40">
        <v>1</v>
      </c>
      <c r="M22" s="40">
        <v>13</v>
      </c>
      <c r="N22" s="40">
        <f>J22*$P$2/1000</f>
        <v>176</v>
      </c>
      <c r="O22" s="40">
        <f>K22*$Q$2/1000</f>
        <v>100</v>
      </c>
      <c r="P22" s="40">
        <f>L22*$P$2/1000</f>
        <v>22</v>
      </c>
      <c r="Q22" s="40">
        <f t="shared" si="0"/>
        <v>298</v>
      </c>
      <c r="R22" s="54">
        <f>M24</f>
        <v>49</v>
      </c>
    </row>
    <row r="23" spans="1:18">
      <c r="A23" s="41">
        <v>160</v>
      </c>
      <c r="B23" s="177"/>
      <c r="C23" s="177"/>
      <c r="D23" s="177"/>
      <c r="E23" s="177"/>
      <c r="F23" s="177"/>
      <c r="G23" s="42" t="s">
        <v>132</v>
      </c>
      <c r="H23" s="43">
        <v>55</v>
      </c>
      <c r="I23" s="43">
        <v>209</v>
      </c>
      <c r="J23" s="43">
        <v>27</v>
      </c>
      <c r="K23" s="43">
        <v>9</v>
      </c>
      <c r="L23" s="43"/>
      <c r="M23" s="43">
        <v>36</v>
      </c>
      <c r="N23" s="43">
        <f>J23*$P$3/1000</f>
        <v>621</v>
      </c>
      <c r="O23" s="43">
        <f>K23*$Q$3/1000</f>
        <v>243</v>
      </c>
      <c r="P23" s="43">
        <f>L23*$P$3/1000</f>
        <v>0</v>
      </c>
      <c r="Q23" s="43">
        <f t="shared" si="0"/>
        <v>864</v>
      </c>
      <c r="R23" s="44"/>
    </row>
    <row r="24" spans="1:18">
      <c r="A24" s="45"/>
      <c r="B24" s="178"/>
      <c r="C24" s="178"/>
      <c r="D24" s="178"/>
      <c r="E24" s="178"/>
      <c r="F24" s="178"/>
      <c r="G24" s="27" t="s">
        <v>133</v>
      </c>
      <c r="H24" s="46">
        <f t="shared" ref="H24:P24" si="6">SUM(H22:H23)</f>
        <v>100</v>
      </c>
      <c r="I24" s="46">
        <f t="shared" si="6"/>
        <v>380</v>
      </c>
      <c r="J24" s="46">
        <f t="shared" si="6"/>
        <v>35</v>
      </c>
      <c r="K24" s="46">
        <f t="shared" si="6"/>
        <v>13</v>
      </c>
      <c r="L24" s="46">
        <f t="shared" si="6"/>
        <v>1</v>
      </c>
      <c r="M24" s="46">
        <f t="shared" si="6"/>
        <v>49</v>
      </c>
      <c r="N24" s="46">
        <f t="shared" si="6"/>
        <v>797</v>
      </c>
      <c r="O24" s="46">
        <f t="shared" si="6"/>
        <v>343</v>
      </c>
      <c r="P24" s="46">
        <f t="shared" si="6"/>
        <v>22</v>
      </c>
      <c r="Q24" s="46">
        <f t="shared" si="0"/>
        <v>1162</v>
      </c>
      <c r="R24" s="46">
        <f>Q24*1000</f>
        <v>1162000</v>
      </c>
    </row>
    <row r="25" spans="1:18">
      <c r="A25" s="39" t="s">
        <v>138</v>
      </c>
      <c r="B25" s="176">
        <v>360</v>
      </c>
      <c r="C25" s="176"/>
      <c r="D25" s="176">
        <v>585</v>
      </c>
      <c r="E25" s="176">
        <v>1149.5000112056732</v>
      </c>
      <c r="F25" s="176">
        <v>721</v>
      </c>
      <c r="G25" s="21" t="s">
        <v>131</v>
      </c>
      <c r="H25" s="40">
        <v>30</v>
      </c>
      <c r="I25" s="40">
        <v>216.3</v>
      </c>
      <c r="J25" s="40">
        <v>6</v>
      </c>
      <c r="K25" s="40">
        <v>3</v>
      </c>
      <c r="L25" s="40">
        <v>1</v>
      </c>
      <c r="M25" s="40">
        <v>10</v>
      </c>
      <c r="N25" s="40">
        <f>J25*$P$2/1000</f>
        <v>132</v>
      </c>
      <c r="O25" s="40">
        <f>K25*$Q$2/1000</f>
        <v>75</v>
      </c>
      <c r="P25" s="40">
        <f>L25*$P$2/1000</f>
        <v>22</v>
      </c>
      <c r="Q25" s="40">
        <f t="shared" si="0"/>
        <v>229</v>
      </c>
      <c r="R25" s="54">
        <f>M27</f>
        <v>70</v>
      </c>
    </row>
    <row r="26" spans="1:18">
      <c r="A26" s="41" t="s">
        <v>139</v>
      </c>
      <c r="B26" s="177"/>
      <c r="C26" s="177"/>
      <c r="D26" s="177"/>
      <c r="E26" s="177"/>
      <c r="F26" s="177"/>
      <c r="G26" s="42" t="s">
        <v>132</v>
      </c>
      <c r="H26" s="43">
        <v>70</v>
      </c>
      <c r="I26" s="43">
        <v>504.7</v>
      </c>
      <c r="J26" s="43">
        <v>45</v>
      </c>
      <c r="K26" s="43">
        <v>15</v>
      </c>
      <c r="L26" s="43"/>
      <c r="M26" s="43">
        <v>60</v>
      </c>
      <c r="N26" s="43">
        <f>J26*$P$3/1000</f>
        <v>1035</v>
      </c>
      <c r="O26" s="43">
        <f>K26*$Q$3/1000</f>
        <v>405</v>
      </c>
      <c r="P26" s="43">
        <f>L26*$P$3/1000</f>
        <v>0</v>
      </c>
      <c r="Q26" s="43">
        <f t="shared" si="0"/>
        <v>1440</v>
      </c>
      <c r="R26" s="44"/>
    </row>
    <row r="27" spans="1:18">
      <c r="A27" s="45"/>
      <c r="B27" s="178"/>
      <c r="C27" s="178"/>
      <c r="D27" s="178"/>
      <c r="E27" s="178"/>
      <c r="F27" s="178"/>
      <c r="G27" s="27" t="s">
        <v>133</v>
      </c>
      <c r="H27" s="46">
        <f t="shared" ref="H27:P27" si="7">SUM(H25:H26)</f>
        <v>100</v>
      </c>
      <c r="I27" s="46">
        <f t="shared" si="7"/>
        <v>721</v>
      </c>
      <c r="J27" s="46">
        <f t="shared" si="7"/>
        <v>51</v>
      </c>
      <c r="K27" s="46">
        <f t="shared" si="7"/>
        <v>18</v>
      </c>
      <c r="L27" s="46">
        <f t="shared" si="7"/>
        <v>1</v>
      </c>
      <c r="M27" s="46">
        <f t="shared" si="7"/>
        <v>70</v>
      </c>
      <c r="N27" s="46">
        <f t="shared" si="7"/>
        <v>1167</v>
      </c>
      <c r="O27" s="46">
        <f t="shared" si="7"/>
        <v>480</v>
      </c>
      <c r="P27" s="46">
        <f t="shared" si="7"/>
        <v>22</v>
      </c>
      <c r="Q27" s="46">
        <f t="shared" si="0"/>
        <v>1669</v>
      </c>
      <c r="R27" s="46">
        <f>Q27*1000</f>
        <v>1669000</v>
      </c>
    </row>
    <row r="28" spans="1:18">
      <c r="A28" s="39" t="s">
        <v>140</v>
      </c>
      <c r="B28" s="176">
        <v>555</v>
      </c>
      <c r="C28" s="176"/>
      <c r="D28" s="176">
        <v>2405</v>
      </c>
      <c r="E28" s="176">
        <v>8459.600043296814</v>
      </c>
      <c r="F28" s="176">
        <v>2635</v>
      </c>
      <c r="G28" s="21" t="s">
        <v>131</v>
      </c>
      <c r="H28" s="40">
        <v>55</v>
      </c>
      <c r="I28" s="40">
        <v>1449.25</v>
      </c>
      <c r="J28" s="40">
        <v>46</v>
      </c>
      <c r="K28" s="40">
        <v>23</v>
      </c>
      <c r="L28" s="40">
        <v>7</v>
      </c>
      <c r="M28" s="40">
        <v>76</v>
      </c>
      <c r="N28" s="40">
        <f>J28*$P$2/1000</f>
        <v>1012</v>
      </c>
      <c r="O28" s="40">
        <f>K28*$Q$2/1000</f>
        <v>575</v>
      </c>
      <c r="P28" s="40">
        <f>L28*$P$2/1000</f>
        <v>154</v>
      </c>
      <c r="Q28" s="40">
        <f t="shared" si="0"/>
        <v>1741</v>
      </c>
      <c r="R28" s="54">
        <f>M30</f>
        <v>224</v>
      </c>
    </row>
    <row r="29" spans="1:18">
      <c r="A29" s="41" t="s">
        <v>136</v>
      </c>
      <c r="B29" s="177"/>
      <c r="C29" s="177"/>
      <c r="D29" s="177"/>
      <c r="E29" s="177"/>
      <c r="F29" s="177"/>
      <c r="G29" s="42" t="s">
        <v>132</v>
      </c>
      <c r="H29" s="43">
        <v>45</v>
      </c>
      <c r="I29" s="43">
        <v>1185.75</v>
      </c>
      <c r="J29" s="43">
        <v>111</v>
      </c>
      <c r="K29" s="43">
        <v>37</v>
      </c>
      <c r="L29" s="43"/>
      <c r="M29" s="43">
        <v>148</v>
      </c>
      <c r="N29" s="43">
        <f>J29*$P$3/1000</f>
        <v>2553</v>
      </c>
      <c r="O29" s="43">
        <f>K29*$Q$3/1000</f>
        <v>999</v>
      </c>
      <c r="P29" s="43">
        <f>L29*$P$3/1000</f>
        <v>0</v>
      </c>
      <c r="Q29" s="43">
        <f t="shared" si="0"/>
        <v>3552</v>
      </c>
      <c r="R29" s="44"/>
    </row>
    <row r="30" spans="1:18">
      <c r="A30" s="45"/>
      <c r="B30" s="178"/>
      <c r="C30" s="178"/>
      <c r="D30" s="178"/>
      <c r="E30" s="178"/>
      <c r="F30" s="178"/>
      <c r="G30" s="27" t="s">
        <v>133</v>
      </c>
      <c r="H30" s="46">
        <f t="shared" ref="H30:P30" si="8">SUM(H28:H29)</f>
        <v>100</v>
      </c>
      <c r="I30" s="46">
        <f t="shared" si="8"/>
        <v>2635</v>
      </c>
      <c r="J30" s="46">
        <f t="shared" si="8"/>
        <v>157</v>
      </c>
      <c r="K30" s="46">
        <f t="shared" si="8"/>
        <v>60</v>
      </c>
      <c r="L30" s="46">
        <f t="shared" si="8"/>
        <v>7</v>
      </c>
      <c r="M30" s="46">
        <f t="shared" si="8"/>
        <v>224</v>
      </c>
      <c r="N30" s="46">
        <f t="shared" si="8"/>
        <v>3565</v>
      </c>
      <c r="O30" s="46">
        <f t="shared" si="8"/>
        <v>1574</v>
      </c>
      <c r="P30" s="46">
        <f t="shared" si="8"/>
        <v>154</v>
      </c>
      <c r="Q30" s="46">
        <f t="shared" si="0"/>
        <v>5293</v>
      </c>
      <c r="R30" s="46">
        <f>Q30*1000</f>
        <v>5293000</v>
      </c>
    </row>
    <row r="31" spans="1:18">
      <c r="A31" s="39" t="s">
        <v>141</v>
      </c>
      <c r="B31" s="176">
        <v>790</v>
      </c>
      <c r="C31" s="176"/>
      <c r="D31" s="176">
        <v>1890</v>
      </c>
      <c r="E31" s="176">
        <v>3950.4500514268875</v>
      </c>
      <c r="F31" s="176">
        <v>914</v>
      </c>
      <c r="G31" s="21" t="s">
        <v>131</v>
      </c>
      <c r="H31" s="40">
        <v>35</v>
      </c>
      <c r="I31" s="40">
        <v>319.89999999999998</v>
      </c>
      <c r="J31" s="40">
        <v>10</v>
      </c>
      <c r="K31" s="40">
        <v>5</v>
      </c>
      <c r="L31" s="40">
        <v>1</v>
      </c>
      <c r="M31" s="40">
        <v>16</v>
      </c>
      <c r="N31" s="40">
        <f>J31*$P$2/1000</f>
        <v>220</v>
      </c>
      <c r="O31" s="40">
        <f>K31*$Q$2/1000</f>
        <v>125</v>
      </c>
      <c r="P31" s="40">
        <f>L31*$P$2/1000</f>
        <v>22</v>
      </c>
      <c r="Q31" s="40">
        <f t="shared" si="0"/>
        <v>367</v>
      </c>
      <c r="R31" s="54">
        <f>M33</f>
        <v>96</v>
      </c>
    </row>
    <row r="32" spans="1:18">
      <c r="A32" s="41" t="s">
        <v>139</v>
      </c>
      <c r="B32" s="177"/>
      <c r="C32" s="177"/>
      <c r="D32" s="177"/>
      <c r="E32" s="177"/>
      <c r="F32" s="177"/>
      <c r="G32" s="42" t="s">
        <v>132</v>
      </c>
      <c r="H32" s="43">
        <v>65</v>
      </c>
      <c r="I32" s="43">
        <v>594.1</v>
      </c>
      <c r="J32" s="43">
        <v>60</v>
      </c>
      <c r="K32" s="43">
        <v>20</v>
      </c>
      <c r="L32" s="43"/>
      <c r="M32" s="43">
        <v>80</v>
      </c>
      <c r="N32" s="43">
        <f>J32*$P$3/1000</f>
        <v>1380</v>
      </c>
      <c r="O32" s="43">
        <f>K32*$Q$3/1000</f>
        <v>540</v>
      </c>
      <c r="P32" s="43">
        <f>L32*$P$3/1000</f>
        <v>0</v>
      </c>
      <c r="Q32" s="43">
        <f t="shared" si="0"/>
        <v>1920</v>
      </c>
      <c r="R32" s="44"/>
    </row>
    <row r="33" spans="1:18">
      <c r="A33" s="45"/>
      <c r="B33" s="178"/>
      <c r="C33" s="178"/>
      <c r="D33" s="178"/>
      <c r="E33" s="178"/>
      <c r="F33" s="178"/>
      <c r="G33" s="27" t="s">
        <v>133</v>
      </c>
      <c r="H33" s="46">
        <f t="shared" ref="H33:P33" si="9">SUM(H31:H32)</f>
        <v>100</v>
      </c>
      <c r="I33" s="46">
        <f t="shared" si="9"/>
        <v>914</v>
      </c>
      <c r="J33" s="46">
        <f t="shared" si="9"/>
        <v>70</v>
      </c>
      <c r="K33" s="46">
        <f t="shared" si="9"/>
        <v>25</v>
      </c>
      <c r="L33" s="46">
        <f t="shared" si="9"/>
        <v>1</v>
      </c>
      <c r="M33" s="46">
        <f t="shared" si="9"/>
        <v>96</v>
      </c>
      <c r="N33" s="46">
        <f t="shared" si="9"/>
        <v>1600</v>
      </c>
      <c r="O33" s="46">
        <f t="shared" si="9"/>
        <v>665</v>
      </c>
      <c r="P33" s="46">
        <f t="shared" si="9"/>
        <v>22</v>
      </c>
      <c r="Q33" s="46">
        <f t="shared" si="0"/>
        <v>2287</v>
      </c>
      <c r="R33" s="46">
        <f>Q33*1000</f>
        <v>2287000</v>
      </c>
    </row>
    <row r="34" spans="1:18">
      <c r="A34" s="39" t="s">
        <v>142</v>
      </c>
      <c r="B34" s="176">
        <v>350</v>
      </c>
      <c r="C34" s="176"/>
      <c r="D34" s="176">
        <v>505</v>
      </c>
      <c r="E34" s="176">
        <v>1731.3999783992767</v>
      </c>
      <c r="F34" s="176">
        <v>649</v>
      </c>
      <c r="G34" s="21" t="s">
        <v>131</v>
      </c>
      <c r="H34" s="40">
        <v>45</v>
      </c>
      <c r="I34" s="40">
        <v>292.05</v>
      </c>
      <c r="J34" s="40">
        <v>12</v>
      </c>
      <c r="K34" s="40">
        <v>6</v>
      </c>
      <c r="L34" s="40">
        <v>1</v>
      </c>
      <c r="M34" s="40">
        <v>19</v>
      </c>
      <c r="N34" s="40">
        <f>J34*$P$2/1000</f>
        <v>264</v>
      </c>
      <c r="O34" s="40">
        <f>K34*$Q$2/1000</f>
        <v>150</v>
      </c>
      <c r="P34" s="40">
        <f>L34*$P$2/1000</f>
        <v>22</v>
      </c>
      <c r="Q34" s="40">
        <f t="shared" si="0"/>
        <v>436</v>
      </c>
      <c r="R34" s="54">
        <f>M36</f>
        <v>79</v>
      </c>
    </row>
    <row r="35" spans="1:18">
      <c r="A35" s="41">
        <v>80</v>
      </c>
      <c r="B35" s="177"/>
      <c r="C35" s="177"/>
      <c r="D35" s="177"/>
      <c r="E35" s="177"/>
      <c r="F35" s="177"/>
      <c r="G35" s="42" t="s">
        <v>132</v>
      </c>
      <c r="H35" s="43">
        <v>55</v>
      </c>
      <c r="I35" s="43">
        <v>356.95</v>
      </c>
      <c r="J35" s="43">
        <v>45</v>
      </c>
      <c r="K35" s="43">
        <v>15</v>
      </c>
      <c r="L35" s="43"/>
      <c r="M35" s="43">
        <v>60</v>
      </c>
      <c r="N35" s="43">
        <f>J35*$P$3/1000</f>
        <v>1035</v>
      </c>
      <c r="O35" s="43">
        <f>K35*$Q$3/1000</f>
        <v>405</v>
      </c>
      <c r="P35" s="43">
        <f>L35*$P$3/1000</f>
        <v>0</v>
      </c>
      <c r="Q35" s="43">
        <f t="shared" si="0"/>
        <v>1440</v>
      </c>
      <c r="R35" s="44"/>
    </row>
    <row r="36" spans="1:18">
      <c r="A36" s="45"/>
      <c r="B36" s="178"/>
      <c r="C36" s="178"/>
      <c r="D36" s="178"/>
      <c r="E36" s="178"/>
      <c r="F36" s="178"/>
      <c r="G36" s="27" t="s">
        <v>133</v>
      </c>
      <c r="H36" s="46">
        <f t="shared" ref="H36:P36" si="10">SUM(H34:H35)</f>
        <v>100</v>
      </c>
      <c r="I36" s="46">
        <f t="shared" si="10"/>
        <v>649</v>
      </c>
      <c r="J36" s="46">
        <f t="shared" si="10"/>
        <v>57</v>
      </c>
      <c r="K36" s="46">
        <f t="shared" si="10"/>
        <v>21</v>
      </c>
      <c r="L36" s="46">
        <f t="shared" si="10"/>
        <v>1</v>
      </c>
      <c r="M36" s="46">
        <f t="shared" si="10"/>
        <v>79</v>
      </c>
      <c r="N36" s="46">
        <f t="shared" si="10"/>
        <v>1299</v>
      </c>
      <c r="O36" s="46">
        <f t="shared" si="10"/>
        <v>555</v>
      </c>
      <c r="P36" s="46">
        <f t="shared" si="10"/>
        <v>22</v>
      </c>
      <c r="Q36" s="46">
        <f t="shared" si="0"/>
        <v>1876</v>
      </c>
      <c r="R36" s="46">
        <f>Q36*1000</f>
        <v>1876000</v>
      </c>
    </row>
    <row r="37" spans="1:18">
      <c r="A37" s="39" t="s">
        <v>143</v>
      </c>
      <c r="B37" s="176">
        <v>360</v>
      </c>
      <c r="C37" s="176"/>
      <c r="D37" s="176">
        <v>435</v>
      </c>
      <c r="E37" s="176">
        <v>1821.8999671936035</v>
      </c>
      <c r="F37" s="176">
        <v>558</v>
      </c>
      <c r="G37" s="21" t="s">
        <v>131</v>
      </c>
      <c r="H37" s="40">
        <v>55</v>
      </c>
      <c r="I37" s="40">
        <v>306.89999999999998</v>
      </c>
      <c r="J37" s="40">
        <v>18</v>
      </c>
      <c r="K37" s="40">
        <v>9</v>
      </c>
      <c r="L37" s="40">
        <v>2</v>
      </c>
      <c r="M37" s="40">
        <v>29</v>
      </c>
      <c r="N37" s="40">
        <f>J37*$P$2/1000</f>
        <v>396</v>
      </c>
      <c r="O37" s="40">
        <f>K37*$Q$2/1000</f>
        <v>225</v>
      </c>
      <c r="P37" s="40">
        <f>L37*$P$2/1000</f>
        <v>44</v>
      </c>
      <c r="Q37" s="40">
        <f t="shared" si="0"/>
        <v>665</v>
      </c>
      <c r="R37" s="54">
        <f>M39</f>
        <v>81</v>
      </c>
    </row>
    <row r="38" spans="1:18">
      <c r="A38" s="41">
        <v>160</v>
      </c>
      <c r="B38" s="177"/>
      <c r="C38" s="177"/>
      <c r="D38" s="177"/>
      <c r="E38" s="177"/>
      <c r="F38" s="177"/>
      <c r="G38" s="42" t="s">
        <v>132</v>
      </c>
      <c r="H38" s="43">
        <v>45</v>
      </c>
      <c r="I38" s="43">
        <v>251.1</v>
      </c>
      <c r="J38" s="43">
        <v>39</v>
      </c>
      <c r="K38" s="43">
        <v>13</v>
      </c>
      <c r="L38" s="43"/>
      <c r="M38" s="43">
        <v>52</v>
      </c>
      <c r="N38" s="43">
        <f>J38*$P$3/1000</f>
        <v>897</v>
      </c>
      <c r="O38" s="43">
        <f>K38*$Q$3/1000</f>
        <v>351</v>
      </c>
      <c r="P38" s="43">
        <f>L38*$P$3/1000</f>
        <v>0</v>
      </c>
      <c r="Q38" s="43">
        <f t="shared" si="0"/>
        <v>1248</v>
      </c>
      <c r="R38" s="44"/>
    </row>
    <row r="39" spans="1:18">
      <c r="A39" s="45"/>
      <c r="B39" s="178"/>
      <c r="C39" s="178"/>
      <c r="D39" s="178"/>
      <c r="E39" s="178"/>
      <c r="F39" s="178"/>
      <c r="G39" s="27" t="s">
        <v>133</v>
      </c>
      <c r="H39" s="46">
        <f t="shared" ref="H39:P39" si="11">SUM(H37:H38)</f>
        <v>100</v>
      </c>
      <c r="I39" s="46">
        <f t="shared" si="11"/>
        <v>558</v>
      </c>
      <c r="J39" s="46">
        <f t="shared" si="11"/>
        <v>57</v>
      </c>
      <c r="K39" s="46">
        <f t="shared" si="11"/>
        <v>22</v>
      </c>
      <c r="L39" s="46">
        <f t="shared" si="11"/>
        <v>2</v>
      </c>
      <c r="M39" s="46">
        <f t="shared" si="11"/>
        <v>81</v>
      </c>
      <c r="N39" s="46">
        <f t="shared" si="11"/>
        <v>1293</v>
      </c>
      <c r="O39" s="46">
        <f t="shared" si="11"/>
        <v>576</v>
      </c>
      <c r="P39" s="46">
        <f t="shared" si="11"/>
        <v>44</v>
      </c>
      <c r="Q39" s="46">
        <f t="shared" si="0"/>
        <v>1913</v>
      </c>
      <c r="R39" s="46">
        <f>Q39*1000</f>
        <v>1913000</v>
      </c>
    </row>
    <row r="40" spans="1:18">
      <c r="A40" s="39" t="s">
        <v>144</v>
      </c>
      <c r="B40" s="176">
        <v>450</v>
      </c>
      <c r="C40" s="176"/>
      <c r="D40" s="176">
        <v>1500</v>
      </c>
      <c r="E40" s="176">
        <v>5949.4999170303345</v>
      </c>
      <c r="F40" s="176">
        <v>1824</v>
      </c>
      <c r="G40" s="21" t="s">
        <v>131</v>
      </c>
      <c r="H40" s="40">
        <v>45</v>
      </c>
      <c r="I40" s="40">
        <v>820.8</v>
      </c>
      <c r="J40" s="40">
        <v>32</v>
      </c>
      <c r="K40" s="40">
        <v>16</v>
      </c>
      <c r="L40" s="40">
        <v>4</v>
      </c>
      <c r="M40" s="40">
        <v>52</v>
      </c>
      <c r="N40" s="40">
        <f>J40*$P$2/1000</f>
        <v>704</v>
      </c>
      <c r="O40" s="40">
        <f>K40*$Q$2/1000</f>
        <v>400</v>
      </c>
      <c r="P40" s="40">
        <f>L40*$P$2/1000</f>
        <v>88</v>
      </c>
      <c r="Q40" s="40">
        <f t="shared" si="0"/>
        <v>1192</v>
      </c>
      <c r="R40" s="54">
        <f>M42</f>
        <v>200</v>
      </c>
    </row>
    <row r="41" spans="1:18">
      <c r="A41" s="41">
        <v>40</v>
      </c>
      <c r="B41" s="177"/>
      <c r="C41" s="177"/>
      <c r="D41" s="177"/>
      <c r="E41" s="177"/>
      <c r="F41" s="177"/>
      <c r="G41" s="42" t="s">
        <v>132</v>
      </c>
      <c r="H41" s="43">
        <v>55</v>
      </c>
      <c r="I41" s="43">
        <v>1003.2</v>
      </c>
      <c r="J41" s="43">
        <v>111</v>
      </c>
      <c r="K41" s="43">
        <v>37</v>
      </c>
      <c r="L41" s="43"/>
      <c r="M41" s="43">
        <v>148</v>
      </c>
      <c r="N41" s="43">
        <f>J41*$P$3/1000</f>
        <v>2553</v>
      </c>
      <c r="O41" s="43">
        <f>K41*$Q$3/1000</f>
        <v>999</v>
      </c>
      <c r="P41" s="43">
        <f>L41*$P$3/1000</f>
        <v>0</v>
      </c>
      <c r="Q41" s="43">
        <f t="shared" si="0"/>
        <v>3552</v>
      </c>
      <c r="R41" s="44"/>
    </row>
    <row r="42" spans="1:18">
      <c r="A42" s="45"/>
      <c r="B42" s="178"/>
      <c r="C42" s="178"/>
      <c r="D42" s="178"/>
      <c r="E42" s="178"/>
      <c r="F42" s="178"/>
      <c r="G42" s="27" t="s">
        <v>133</v>
      </c>
      <c r="H42" s="46">
        <f t="shared" ref="H42:P42" si="12">SUM(H40:H41)</f>
        <v>100</v>
      </c>
      <c r="I42" s="46">
        <f t="shared" si="12"/>
        <v>1824</v>
      </c>
      <c r="J42" s="46">
        <f t="shared" si="12"/>
        <v>143</v>
      </c>
      <c r="K42" s="46">
        <f t="shared" si="12"/>
        <v>53</v>
      </c>
      <c r="L42" s="46">
        <f t="shared" si="12"/>
        <v>4</v>
      </c>
      <c r="M42" s="46">
        <f t="shared" si="12"/>
        <v>200</v>
      </c>
      <c r="N42" s="46">
        <f t="shared" si="12"/>
        <v>3257</v>
      </c>
      <c r="O42" s="46">
        <f t="shared" si="12"/>
        <v>1399</v>
      </c>
      <c r="P42" s="46">
        <f t="shared" si="12"/>
        <v>88</v>
      </c>
      <c r="Q42" s="46">
        <f t="shared" si="0"/>
        <v>4744</v>
      </c>
      <c r="R42" s="46">
        <f>Q42*1000</f>
        <v>4744000</v>
      </c>
    </row>
    <row r="43" spans="1:18">
      <c r="A43" s="39" t="s">
        <v>145</v>
      </c>
      <c r="B43" s="176">
        <v>300</v>
      </c>
      <c r="C43" s="176"/>
      <c r="D43" s="176">
        <v>375</v>
      </c>
      <c r="E43" s="176">
        <v>1201.5000104904175</v>
      </c>
      <c r="F43" s="176">
        <v>442</v>
      </c>
      <c r="G43" s="21" t="s">
        <v>131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40">
        <v>0</v>
      </c>
      <c r="N43" s="40">
        <f>J43*$P$2/1000</f>
        <v>0</v>
      </c>
      <c r="O43" s="40">
        <f>K43*$Q$2/1000</f>
        <v>0</v>
      </c>
      <c r="P43" s="40">
        <f>L43*$P$2/1000</f>
        <v>0</v>
      </c>
      <c r="Q43" s="40">
        <f t="shared" si="0"/>
        <v>0</v>
      </c>
      <c r="R43" s="54">
        <f>M45</f>
        <v>84</v>
      </c>
    </row>
    <row r="44" spans="1:18">
      <c r="A44" s="41">
        <v>80</v>
      </c>
      <c r="B44" s="177"/>
      <c r="C44" s="177"/>
      <c r="D44" s="177"/>
      <c r="E44" s="177"/>
      <c r="F44" s="177"/>
      <c r="G44" s="42" t="s">
        <v>132</v>
      </c>
      <c r="H44" s="43">
        <v>100</v>
      </c>
      <c r="I44" s="43">
        <v>442</v>
      </c>
      <c r="J44" s="43">
        <v>63</v>
      </c>
      <c r="K44" s="43">
        <v>21</v>
      </c>
      <c r="L44" s="43"/>
      <c r="M44" s="43">
        <v>84</v>
      </c>
      <c r="N44" s="43">
        <f>J44*$P$3/1000</f>
        <v>1449</v>
      </c>
      <c r="O44" s="43">
        <f>K44*$Q$3/1000</f>
        <v>567</v>
      </c>
      <c r="P44" s="43">
        <f>L44*$P$3/1000</f>
        <v>0</v>
      </c>
      <c r="Q44" s="43">
        <f t="shared" si="0"/>
        <v>2016</v>
      </c>
      <c r="R44" s="44"/>
    </row>
    <row r="45" spans="1:18">
      <c r="A45" s="45"/>
      <c r="B45" s="178"/>
      <c r="C45" s="178"/>
      <c r="D45" s="178"/>
      <c r="E45" s="178"/>
      <c r="F45" s="178"/>
      <c r="G45" s="27" t="s">
        <v>133</v>
      </c>
      <c r="H45" s="46">
        <f t="shared" ref="H45:P45" si="13">SUM(H43:H44)</f>
        <v>100</v>
      </c>
      <c r="I45" s="46">
        <f t="shared" si="13"/>
        <v>442</v>
      </c>
      <c r="J45" s="46">
        <f t="shared" si="13"/>
        <v>63</v>
      </c>
      <c r="K45" s="46">
        <f t="shared" si="13"/>
        <v>21</v>
      </c>
      <c r="L45" s="46">
        <f t="shared" si="13"/>
        <v>0</v>
      </c>
      <c r="M45" s="46">
        <f t="shared" si="13"/>
        <v>84</v>
      </c>
      <c r="N45" s="46">
        <f t="shared" si="13"/>
        <v>1449</v>
      </c>
      <c r="O45" s="46">
        <f t="shared" si="13"/>
        <v>567</v>
      </c>
      <c r="P45" s="46">
        <f t="shared" si="13"/>
        <v>0</v>
      </c>
      <c r="Q45" s="46">
        <f t="shared" si="0"/>
        <v>2016</v>
      </c>
      <c r="R45" s="46">
        <f>Q45*1000</f>
        <v>2016000</v>
      </c>
    </row>
    <row r="46" spans="1:18">
      <c r="A46" s="179" t="s">
        <v>146</v>
      </c>
      <c r="B46" s="173">
        <f>SUM(B7:B45)</f>
        <v>18804</v>
      </c>
      <c r="C46" s="173">
        <f>SUM(C7:C45)</f>
        <v>0</v>
      </c>
      <c r="D46" s="173">
        <f>SUM(D7:D45)</f>
        <v>85812.5</v>
      </c>
      <c r="E46" s="173">
        <f>SUM(E7:E45)</f>
        <v>409183.54290151596</v>
      </c>
      <c r="F46" s="173">
        <f>SUM(F7:F45)</f>
        <v>58129</v>
      </c>
      <c r="G46" s="47" t="s">
        <v>131</v>
      </c>
      <c r="H46" s="48"/>
      <c r="I46" s="48">
        <f t="shared" ref="I46:Q47" si="14">I7+I10+I13+I16+I19+I22+I25+I28+I31+I34+I37+I40+I43</f>
        <v>20679.899999999998</v>
      </c>
      <c r="J46" s="48">
        <f t="shared" si="14"/>
        <v>568</v>
      </c>
      <c r="K46" s="48">
        <f t="shared" si="14"/>
        <v>284</v>
      </c>
      <c r="L46" s="48">
        <f t="shared" si="14"/>
        <v>81</v>
      </c>
      <c r="M46" s="48">
        <f t="shared" si="14"/>
        <v>933</v>
      </c>
      <c r="N46" s="48">
        <f t="shared" si="14"/>
        <v>12496</v>
      </c>
      <c r="O46" s="48">
        <f t="shared" si="14"/>
        <v>7100</v>
      </c>
      <c r="P46" s="48">
        <f t="shared" si="14"/>
        <v>1782</v>
      </c>
      <c r="Q46" s="48">
        <f t="shared" si="14"/>
        <v>21378</v>
      </c>
      <c r="R46" s="58"/>
    </row>
    <row r="47" spans="1:18">
      <c r="A47" s="180"/>
      <c r="B47" s="174"/>
      <c r="C47" s="174"/>
      <c r="D47" s="174"/>
      <c r="E47" s="174"/>
      <c r="F47" s="174"/>
      <c r="G47" s="49" t="s">
        <v>132</v>
      </c>
      <c r="H47" s="50"/>
      <c r="I47" s="50">
        <f t="shared" si="14"/>
        <v>37449.099999999991</v>
      </c>
      <c r="J47" s="50">
        <f t="shared" si="14"/>
        <v>3075</v>
      </c>
      <c r="K47" s="50">
        <f t="shared" si="14"/>
        <v>1025</v>
      </c>
      <c r="L47" s="50">
        <f t="shared" si="14"/>
        <v>0</v>
      </c>
      <c r="M47" s="50">
        <f t="shared" si="14"/>
        <v>4100</v>
      </c>
      <c r="N47" s="50">
        <f t="shared" si="14"/>
        <v>70725</v>
      </c>
      <c r="O47" s="50">
        <f t="shared" si="14"/>
        <v>27675</v>
      </c>
      <c r="P47" s="50">
        <f t="shared" si="14"/>
        <v>0</v>
      </c>
      <c r="Q47" s="50">
        <f t="shared" si="14"/>
        <v>98400</v>
      </c>
      <c r="R47" s="51"/>
    </row>
    <row r="48" spans="1:18">
      <c r="A48" s="181"/>
      <c r="B48" s="175"/>
      <c r="C48" s="175"/>
      <c r="D48" s="175"/>
      <c r="E48" s="175"/>
      <c r="F48" s="175"/>
      <c r="G48" s="52" t="s">
        <v>133</v>
      </c>
      <c r="H48" s="53"/>
      <c r="I48" s="53">
        <f t="shared" ref="I48:Q48" si="15">SUM(I46:I47)</f>
        <v>58128.999999999985</v>
      </c>
      <c r="J48" s="53">
        <f t="shared" si="15"/>
        <v>3643</v>
      </c>
      <c r="K48" s="53">
        <f t="shared" si="15"/>
        <v>1309</v>
      </c>
      <c r="L48" s="53">
        <f t="shared" si="15"/>
        <v>81</v>
      </c>
      <c r="M48" s="53">
        <f t="shared" si="15"/>
        <v>5033</v>
      </c>
      <c r="N48" s="53">
        <f t="shared" si="15"/>
        <v>83221</v>
      </c>
      <c r="O48" s="53">
        <f t="shared" si="15"/>
        <v>34775</v>
      </c>
      <c r="P48" s="53">
        <f t="shared" si="15"/>
        <v>1782</v>
      </c>
      <c r="Q48" s="53">
        <f t="shared" si="15"/>
        <v>119778</v>
      </c>
      <c r="R48" s="53">
        <f>R9+R12+R15+R18+R24+R27+R30+R33+R36+R39+R42+R45</f>
        <v>117474000</v>
      </c>
    </row>
  </sheetData>
  <mergeCells count="71">
    <mergeCell ref="B10:B12"/>
    <mergeCell ref="C10:C12"/>
    <mergeCell ref="D10:D12"/>
    <mergeCell ref="E10:E12"/>
    <mergeCell ref="F10:F12"/>
    <mergeCell ref="B7:B9"/>
    <mergeCell ref="C7:C9"/>
    <mergeCell ref="D7:D9"/>
    <mergeCell ref="E7:E9"/>
    <mergeCell ref="F7:F9"/>
    <mergeCell ref="B16:B18"/>
    <mergeCell ref="C16:C18"/>
    <mergeCell ref="D16:D18"/>
    <mergeCell ref="E16:E18"/>
    <mergeCell ref="F16:F18"/>
    <mergeCell ref="B13:B15"/>
    <mergeCell ref="C13:C15"/>
    <mergeCell ref="D13:D15"/>
    <mergeCell ref="E13:E15"/>
    <mergeCell ref="F13:F15"/>
    <mergeCell ref="B22:B24"/>
    <mergeCell ref="C22:C24"/>
    <mergeCell ref="D22:D24"/>
    <mergeCell ref="E22:E24"/>
    <mergeCell ref="F22:F24"/>
    <mergeCell ref="B19:B21"/>
    <mergeCell ref="C19:C21"/>
    <mergeCell ref="D19:D21"/>
    <mergeCell ref="E19:E21"/>
    <mergeCell ref="F19:F21"/>
    <mergeCell ref="B28:B30"/>
    <mergeCell ref="C28:C30"/>
    <mergeCell ref="D28:D30"/>
    <mergeCell ref="E28:E30"/>
    <mergeCell ref="F28:F30"/>
    <mergeCell ref="B25:B27"/>
    <mergeCell ref="C25:C27"/>
    <mergeCell ref="D25:D27"/>
    <mergeCell ref="E25:E27"/>
    <mergeCell ref="F25:F27"/>
    <mergeCell ref="B34:B36"/>
    <mergeCell ref="C34:C36"/>
    <mergeCell ref="D34:D36"/>
    <mergeCell ref="E34:E36"/>
    <mergeCell ref="F34:F36"/>
    <mergeCell ref="B31:B33"/>
    <mergeCell ref="C31:C33"/>
    <mergeCell ref="D31:D33"/>
    <mergeCell ref="E31:E33"/>
    <mergeCell ref="F31:F33"/>
    <mergeCell ref="B40:B42"/>
    <mergeCell ref="C40:C42"/>
    <mergeCell ref="D40:D42"/>
    <mergeCell ref="E40:E42"/>
    <mergeCell ref="F40:F42"/>
    <mergeCell ref="B37:B39"/>
    <mergeCell ref="C37:C39"/>
    <mergeCell ref="D37:D39"/>
    <mergeCell ref="E37:E39"/>
    <mergeCell ref="F37:F39"/>
    <mergeCell ref="A46:A48"/>
    <mergeCell ref="B46:B48"/>
    <mergeCell ref="C46:C48"/>
    <mergeCell ref="D46:D48"/>
    <mergeCell ref="E46:E48"/>
    <mergeCell ref="F46:F48"/>
    <mergeCell ref="B43:B45"/>
    <mergeCell ref="C43:C45"/>
    <mergeCell ref="D43:D45"/>
    <mergeCell ref="E43:E45"/>
    <mergeCell ref="F43:F45"/>
  </mergeCells>
  <phoneticPr fontId="9"/>
  <printOptions horizontalCentered="1"/>
  <pageMargins left="0.19685039370078741" right="0.19685039370078741" top="0.78740157480314965" bottom="0.39370078740157483" header="0.51181102362204722" footer="0.51181102362204722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39"/>
  <sheetViews>
    <sheetView workbookViewId="0">
      <selection activeCell="E8" sqref="E8"/>
    </sheetView>
  </sheetViews>
  <sheetFormatPr defaultRowHeight="10.5"/>
  <cols>
    <col min="1" max="1" width="11.875" style="15" customWidth="1"/>
    <col min="2" max="15" width="8.25" style="15" customWidth="1"/>
    <col min="16" max="16" width="13.625" style="15" customWidth="1"/>
    <col min="17" max="17" width="10.75" style="15" customWidth="1"/>
    <col min="18" max="16384" width="9" style="15"/>
  </cols>
  <sheetData>
    <row r="1" spans="1:16">
      <c r="A1" s="15" t="s">
        <v>191</v>
      </c>
      <c r="C1" s="20"/>
      <c r="D1" s="16"/>
      <c r="E1" s="16"/>
      <c r="F1" s="16"/>
      <c r="G1" s="16"/>
      <c r="H1" s="16"/>
      <c r="J1" s="20"/>
      <c r="K1" s="20"/>
      <c r="P1" s="90"/>
    </row>
    <row r="2" spans="1:16">
      <c r="E2" s="24"/>
      <c r="N2" s="24"/>
    </row>
    <row r="3" spans="1:16">
      <c r="A3" s="85" t="s">
        <v>192</v>
      </c>
      <c r="B3" s="91" t="s">
        <v>109</v>
      </c>
      <c r="C3" s="91"/>
      <c r="D3" s="91"/>
      <c r="E3" s="91" t="s">
        <v>193</v>
      </c>
      <c r="F3" s="91"/>
      <c r="G3" s="91"/>
      <c r="H3" s="91"/>
      <c r="I3" s="91"/>
      <c r="J3" s="91" t="s">
        <v>194</v>
      </c>
      <c r="K3" s="91"/>
      <c r="L3" s="91"/>
      <c r="M3" s="91"/>
      <c r="N3" s="91"/>
      <c r="O3" s="91" t="s">
        <v>195</v>
      </c>
      <c r="P3" s="91"/>
    </row>
    <row r="4" spans="1:16">
      <c r="A4" s="86"/>
      <c r="B4" s="85" t="s">
        <v>196</v>
      </c>
      <c r="C4" s="85" t="s">
        <v>197</v>
      </c>
      <c r="D4" s="36" t="s">
        <v>198</v>
      </c>
      <c r="E4" s="85" t="s">
        <v>117</v>
      </c>
      <c r="F4" s="36" t="s">
        <v>122</v>
      </c>
      <c r="G4" s="36" t="s">
        <v>119</v>
      </c>
      <c r="H4" s="92" t="s">
        <v>120</v>
      </c>
      <c r="I4" s="85" t="s">
        <v>199</v>
      </c>
      <c r="J4" s="85" t="s">
        <v>117</v>
      </c>
      <c r="K4" s="36" t="s">
        <v>122</v>
      </c>
      <c r="L4" s="36" t="s">
        <v>119</v>
      </c>
      <c r="M4" s="36" t="s">
        <v>120</v>
      </c>
      <c r="N4" s="93" t="s">
        <v>199</v>
      </c>
      <c r="O4" s="85" t="s">
        <v>200</v>
      </c>
      <c r="P4" s="36" t="s">
        <v>199</v>
      </c>
    </row>
    <row r="5" spans="1:16">
      <c r="A5" s="87"/>
      <c r="B5" s="87"/>
      <c r="C5" s="87" t="s">
        <v>126</v>
      </c>
      <c r="D5" s="38" t="s">
        <v>201</v>
      </c>
      <c r="E5" s="87" t="s">
        <v>128</v>
      </c>
      <c r="F5" s="38" t="s">
        <v>129</v>
      </c>
      <c r="G5" s="38" t="s">
        <v>202</v>
      </c>
      <c r="H5" s="37" t="s">
        <v>203</v>
      </c>
      <c r="I5" s="87" t="s">
        <v>204</v>
      </c>
      <c r="J5" s="87" t="s">
        <v>128</v>
      </c>
      <c r="K5" s="38" t="s">
        <v>129</v>
      </c>
      <c r="L5" s="38" t="s">
        <v>202</v>
      </c>
      <c r="M5" s="37" t="s">
        <v>203</v>
      </c>
      <c r="N5" s="94" t="s">
        <v>205</v>
      </c>
      <c r="O5" s="87" t="s">
        <v>206</v>
      </c>
      <c r="P5" s="38" t="s">
        <v>207</v>
      </c>
    </row>
    <row r="6" spans="1:16">
      <c r="A6" s="95" t="s">
        <v>208</v>
      </c>
      <c r="B6" s="96">
        <v>0</v>
      </c>
      <c r="C6" s="97">
        <v>127842.8</v>
      </c>
      <c r="D6" s="98"/>
      <c r="E6" s="82"/>
      <c r="F6" s="99"/>
      <c r="G6" s="99"/>
      <c r="H6" s="99"/>
      <c r="I6" s="99"/>
      <c r="J6" s="97">
        <v>243</v>
      </c>
      <c r="K6" s="99"/>
      <c r="L6" s="99"/>
      <c r="M6" s="100">
        <f>J6</f>
        <v>243</v>
      </c>
      <c r="N6" s="101">
        <v>5589</v>
      </c>
      <c r="O6" s="97">
        <f>M6+H6</f>
        <v>243</v>
      </c>
      <c r="P6" s="100">
        <f>(I6+N6)*1000</f>
        <v>5589000</v>
      </c>
    </row>
    <row r="7" spans="1:16">
      <c r="A7" s="45"/>
      <c r="B7" s="84"/>
      <c r="C7" s="84"/>
      <c r="D7" s="102"/>
      <c r="E7" s="84"/>
      <c r="F7" s="102"/>
      <c r="G7" s="103"/>
      <c r="H7" s="84"/>
      <c r="I7" s="102"/>
      <c r="J7" s="104"/>
      <c r="K7" s="84"/>
      <c r="L7" s="103"/>
      <c r="M7" s="105"/>
      <c r="N7" s="103"/>
      <c r="O7" s="105"/>
      <c r="P7" s="106"/>
    </row>
    <row r="8" spans="1:16">
      <c r="A8" s="95" t="s">
        <v>209</v>
      </c>
      <c r="B8" s="96">
        <v>1400.5</v>
      </c>
      <c r="C8" s="97">
        <v>18976</v>
      </c>
      <c r="D8" s="99"/>
      <c r="E8" s="82"/>
      <c r="F8" s="99"/>
      <c r="G8" s="107"/>
      <c r="H8" s="82"/>
      <c r="I8" s="99"/>
      <c r="J8" s="108">
        <v>186</v>
      </c>
      <c r="K8" s="96"/>
      <c r="L8" s="109"/>
      <c r="M8" s="100">
        <f>J8</f>
        <v>186</v>
      </c>
      <c r="N8" s="101">
        <v>4278</v>
      </c>
      <c r="O8" s="97">
        <f>M8+H8</f>
        <v>186</v>
      </c>
      <c r="P8" s="100">
        <f>(I8+N8)*1000</f>
        <v>4278000</v>
      </c>
    </row>
    <row r="9" spans="1:16">
      <c r="A9" s="45"/>
      <c r="B9" s="84"/>
      <c r="C9" s="84"/>
      <c r="D9" s="102"/>
      <c r="E9" s="84"/>
      <c r="F9" s="102"/>
      <c r="G9" s="103"/>
      <c r="H9" s="84"/>
      <c r="I9" s="102"/>
      <c r="J9" s="104"/>
      <c r="K9" s="84"/>
      <c r="L9" s="102"/>
      <c r="M9" s="106"/>
      <c r="N9" s="110"/>
      <c r="O9" s="105"/>
      <c r="P9" s="106"/>
    </row>
    <row r="10" spans="1:16">
      <c r="A10" s="95" t="s">
        <v>210</v>
      </c>
      <c r="B10" s="82"/>
      <c r="C10" s="96">
        <v>169.74809499999998</v>
      </c>
      <c r="D10" s="99"/>
      <c r="E10" s="82"/>
      <c r="F10" s="99"/>
      <c r="G10" s="107"/>
      <c r="H10" s="82"/>
      <c r="I10" s="99"/>
      <c r="J10" s="108">
        <v>71</v>
      </c>
      <c r="K10" s="96"/>
      <c r="L10" s="109"/>
      <c r="M10" s="100">
        <f>J10</f>
        <v>71</v>
      </c>
      <c r="N10" s="101">
        <v>1633</v>
      </c>
      <c r="O10" s="97">
        <f>M10+H10</f>
        <v>71</v>
      </c>
      <c r="P10" s="100">
        <f>(I10+N10)*1000</f>
        <v>1633000</v>
      </c>
    </row>
    <row r="11" spans="1:16">
      <c r="A11" s="45"/>
      <c r="B11" s="84"/>
      <c r="C11" s="84"/>
      <c r="D11" s="102"/>
      <c r="E11" s="84"/>
      <c r="F11" s="102"/>
      <c r="G11" s="103"/>
      <c r="H11" s="84"/>
      <c r="I11" s="102"/>
      <c r="J11" s="104"/>
      <c r="K11" s="84"/>
      <c r="L11" s="102"/>
      <c r="M11" s="106"/>
      <c r="N11" s="110"/>
      <c r="O11" s="105"/>
      <c r="P11" s="106"/>
    </row>
    <row r="12" spans="1:16">
      <c r="A12" s="95" t="s">
        <v>211</v>
      </c>
      <c r="B12" s="96">
        <v>100</v>
      </c>
      <c r="C12" s="82"/>
      <c r="D12" s="99"/>
      <c r="E12" s="82"/>
      <c r="F12" s="99"/>
      <c r="G12" s="107"/>
      <c r="H12" s="82"/>
      <c r="I12" s="99"/>
      <c r="J12" s="108">
        <v>50</v>
      </c>
      <c r="K12" s="96">
        <v>10</v>
      </c>
      <c r="L12" s="109"/>
      <c r="M12" s="100">
        <f>J12+K12</f>
        <v>60</v>
      </c>
      <c r="N12" s="101">
        <v>1690</v>
      </c>
      <c r="O12" s="97">
        <f>M12+H12</f>
        <v>60</v>
      </c>
      <c r="P12" s="100">
        <f>(I12+N12)*1000</f>
        <v>1690000</v>
      </c>
    </row>
    <row r="13" spans="1:16">
      <c r="A13" s="45"/>
      <c r="B13" s="84"/>
      <c r="C13" s="84"/>
      <c r="D13" s="102"/>
      <c r="E13" s="84"/>
      <c r="F13" s="102"/>
      <c r="G13" s="103"/>
      <c r="H13" s="84"/>
      <c r="I13" s="102"/>
      <c r="J13" s="104"/>
      <c r="K13" s="84"/>
      <c r="L13" s="102"/>
      <c r="M13" s="106"/>
      <c r="N13" s="110"/>
      <c r="O13" s="105"/>
      <c r="P13" s="106"/>
    </row>
    <row r="14" spans="1:16">
      <c r="A14" s="95" t="s">
        <v>212</v>
      </c>
      <c r="B14" s="96">
        <v>3500</v>
      </c>
      <c r="C14" s="82"/>
      <c r="D14" s="99"/>
      <c r="E14" s="111"/>
      <c r="F14" s="82"/>
      <c r="G14" s="107"/>
      <c r="H14" s="82"/>
      <c r="I14" s="99"/>
      <c r="J14" s="108">
        <v>206</v>
      </c>
      <c r="K14" s="96"/>
      <c r="L14" s="109"/>
      <c r="M14" s="100">
        <f>J14</f>
        <v>206</v>
      </c>
      <c r="N14" s="101">
        <v>4738</v>
      </c>
      <c r="O14" s="97">
        <f>M14+H14</f>
        <v>206</v>
      </c>
      <c r="P14" s="100">
        <f>(I14+N14)*1000</f>
        <v>4738000</v>
      </c>
    </row>
    <row r="15" spans="1:16">
      <c r="A15" s="112"/>
      <c r="B15" s="84"/>
      <c r="C15" s="84"/>
      <c r="D15" s="102"/>
      <c r="E15" s="84"/>
      <c r="F15" s="102"/>
      <c r="G15" s="103"/>
      <c r="H15" s="84"/>
      <c r="I15" s="102"/>
      <c r="J15" s="104"/>
      <c r="K15" s="84"/>
      <c r="L15" s="102"/>
      <c r="M15" s="106"/>
      <c r="N15" s="110"/>
      <c r="O15" s="105"/>
      <c r="P15" s="106"/>
    </row>
    <row r="16" spans="1:16">
      <c r="A16" s="95" t="s">
        <v>213</v>
      </c>
      <c r="B16" s="96"/>
      <c r="C16" s="82"/>
      <c r="D16" s="99"/>
      <c r="E16" s="96">
        <v>8.5</v>
      </c>
      <c r="F16" s="109">
        <v>8</v>
      </c>
      <c r="G16" s="113">
        <v>18</v>
      </c>
      <c r="H16" s="96"/>
      <c r="I16" s="109">
        <v>783</v>
      </c>
      <c r="J16" s="114"/>
      <c r="K16" s="82"/>
      <c r="L16" s="99"/>
      <c r="M16" s="98"/>
      <c r="N16" s="111"/>
      <c r="O16" s="97">
        <f>M16+H16</f>
        <v>0</v>
      </c>
      <c r="P16" s="100">
        <f>(I16+N16)*1000</f>
        <v>783000</v>
      </c>
    </row>
    <row r="17" spans="1:16">
      <c r="A17" s="112"/>
      <c r="B17" s="84"/>
      <c r="C17" s="84"/>
      <c r="D17" s="102"/>
      <c r="E17" s="84"/>
      <c r="F17" s="102"/>
      <c r="G17" s="103"/>
      <c r="H17" s="84"/>
      <c r="I17" s="102"/>
      <c r="J17" s="104"/>
      <c r="K17" s="84"/>
      <c r="L17" s="102"/>
      <c r="M17" s="106"/>
      <c r="N17" s="110"/>
      <c r="O17" s="105"/>
      <c r="P17" s="106"/>
    </row>
    <row r="18" spans="1:16">
      <c r="A18" s="115" t="s">
        <v>214</v>
      </c>
      <c r="B18" s="83"/>
      <c r="C18" s="83"/>
      <c r="D18" s="116"/>
      <c r="E18" s="83"/>
      <c r="F18" s="116"/>
      <c r="G18" s="117"/>
      <c r="H18" s="83"/>
      <c r="I18" s="116"/>
      <c r="J18" s="118"/>
      <c r="K18" s="83"/>
      <c r="L18" s="116"/>
      <c r="M18" s="119"/>
      <c r="N18" s="120"/>
      <c r="O18" s="121"/>
      <c r="P18" s="119">
        <v>500000</v>
      </c>
    </row>
    <row r="19" spans="1:16">
      <c r="A19" s="115"/>
      <c r="B19" s="83"/>
      <c r="C19" s="83"/>
      <c r="D19" s="116"/>
      <c r="E19" s="83"/>
      <c r="F19" s="116"/>
      <c r="G19" s="117"/>
      <c r="H19" s="83"/>
      <c r="I19" s="116"/>
      <c r="J19" s="122"/>
      <c r="K19" s="83"/>
      <c r="L19" s="116"/>
      <c r="M19" s="119"/>
      <c r="N19" s="120"/>
      <c r="O19" s="121"/>
      <c r="P19" s="119"/>
    </row>
    <row r="20" spans="1:16">
      <c r="A20" s="95" t="s">
        <v>215</v>
      </c>
      <c r="B20" s="82">
        <f t="shared" ref="B20:K20" si="0">SUM(B6:B19)</f>
        <v>5000.5</v>
      </c>
      <c r="C20" s="82">
        <f t="shared" si="0"/>
        <v>146988.54809499998</v>
      </c>
      <c r="D20" s="99">
        <f t="shared" si="0"/>
        <v>0</v>
      </c>
      <c r="E20" s="96">
        <f t="shared" si="0"/>
        <v>8.5</v>
      </c>
      <c r="F20" s="109">
        <f t="shared" si="0"/>
        <v>8</v>
      </c>
      <c r="G20" s="113">
        <f t="shared" si="0"/>
        <v>18</v>
      </c>
      <c r="H20" s="96">
        <f t="shared" si="0"/>
        <v>0</v>
      </c>
      <c r="I20" s="109">
        <f t="shared" si="0"/>
        <v>783</v>
      </c>
      <c r="J20" s="108">
        <f t="shared" si="0"/>
        <v>756</v>
      </c>
      <c r="K20" s="96">
        <f t="shared" si="0"/>
        <v>10</v>
      </c>
      <c r="L20" s="109"/>
      <c r="M20" s="100">
        <f>SUM(M6:M19)</f>
        <v>766</v>
      </c>
      <c r="N20" s="101">
        <f>SUM(N6:N19)</f>
        <v>17928</v>
      </c>
      <c r="O20" s="96">
        <f>SUM(O6:O19)</f>
        <v>766</v>
      </c>
      <c r="P20" s="100">
        <f>SUM(P6:P19)</f>
        <v>19211000</v>
      </c>
    </row>
    <row r="21" spans="1:16">
      <c r="A21" s="112"/>
      <c r="B21" s="84"/>
      <c r="C21" s="84"/>
      <c r="D21" s="102"/>
      <c r="E21" s="84"/>
      <c r="F21" s="102"/>
      <c r="G21" s="103"/>
      <c r="H21" s="84"/>
      <c r="I21" s="102"/>
      <c r="J21" s="104"/>
      <c r="K21" s="84"/>
      <c r="L21" s="102"/>
      <c r="M21" s="106"/>
      <c r="N21" s="110"/>
      <c r="O21" s="84"/>
      <c r="P21" s="106"/>
    </row>
    <row r="22" spans="1:16">
      <c r="I22" s="123"/>
      <c r="J22" s="124"/>
      <c r="K22" s="124"/>
      <c r="L22" s="125"/>
      <c r="M22" s="125"/>
      <c r="N22" s="123"/>
      <c r="O22" s="123"/>
      <c r="P22" s="90"/>
    </row>
    <row r="28" spans="1:16">
      <c r="J28" s="124"/>
      <c r="K28" s="124"/>
      <c r="L28" s="125"/>
      <c r="M28" s="125"/>
      <c r="O28" s="123"/>
      <c r="P28" s="90"/>
    </row>
    <row r="36" spans="1:16">
      <c r="O36" s="123"/>
      <c r="P36" s="90"/>
    </row>
    <row r="37" spans="1:16">
      <c r="O37" s="123"/>
      <c r="P37" s="90"/>
    </row>
    <row r="38" spans="1:16">
      <c r="A38" s="16"/>
      <c r="C38" s="126"/>
      <c r="O38" s="123"/>
      <c r="P38" s="90"/>
    </row>
    <row r="39" spans="1:16">
      <c r="O39" s="123"/>
      <c r="P39" s="90"/>
    </row>
  </sheetData>
  <phoneticPr fontId="9"/>
  <printOptions horizontalCentered="1"/>
  <pageMargins left="0.19685039370078741" right="0.19685039370078741" top="0.78740157480314965" bottom="0.39370078740157483" header="0.51181102362204722" footer="0.51181102362204722"/>
  <pageSetup paperSize="9" orientation="landscape" r:id="rId1"/>
</worksheet>
</file>

<file path=customUI/customUI.xml><?xml version="1.0" encoding="utf-8"?>
<customUI xmlns="http://schemas.microsoft.com/office/2006/01/customui" onLoad="ribbonLoaded">
  <ribbon startFromScratch="false">
    <tabs>
      <tab id="MyTab1" label="積算ソフト" insertBeforeQ="TabHome">
        <group id="MyGroup1" label="ヘルプ">
          <button id="MyHelpNormal" size="large" label="ヘルプ&#13;&#10;(通常)" imageMso="Help" onAction="MyHelpNormal_OnClick"/>
          <button id="MyHelpOnTop" size="large" label="ヘルプ&#13;&#10;(最前面)" imageMso="Help" onAction="MyHelpOnTop_OnClick"/>
          <separator id="MySep1.1"/>
          <button id="MyVersion" size="large" label="バー&#13;&#10;ジョン" imageMso="Info" onAction="MyVersion_OnClick"/>
          <button id="MyInformation" size="large" label="積算情報&#13;&#10;" imageMso="Info" onAction="MyInformation_OnClick"/>
        </group>
        <group id="MyGroup2" label="データベース">
          <button id="MyDatabase" size="large" label="データ&#13;&#10;ベース" imageMso="DatabaseAccessBackEnd" onAction="MyDatabase_OnClick"/>
        </group>
        <group id="MyGroup3" label="配管工事">
          <button id="MyCheckClear" size="large" label="チェック&#13;&#10;解除" imageMso="EraserMenu" onAction="MyCheckClear_OnClick"/>
          <button id="MyCheckData" size="large" label="チェック&#13;&#10;実行" imageMso="ErrorChecking" onAction="MyCheckData_OnClick"/>
          <separator id="MySep3.1"/>
          <!--<button id="MyOutput" size="large" label="出力&#xD;&#xA;" imageMso="CalculateNow" onAction="MyOutput_OnClick" />-->
          <button id="MyOutput" size="large" label="出力&#13;&#10;" imageMso="ExportExcel" onAction="MyOutput_OnClick"/>
          <button id="MyOutputConfig" size="large" label="出力設定&#13;&#10;" imageMso="CalculatedYesNo" onAction="MyOutputConfig_OnClick"/>
        </group>
        <group id="MyGroup4" label="断熱工事">
          <button id="MyButton4.1" size="large" label="ダミー&#13;&#10;"/>
        </group>
        <group id="MyGroup5" label="足場工事">
          <button id="MyButton5.1" size="large" label="ダミー&#13;&#10;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</vt:i4>
      </vt:variant>
    </vt:vector>
  </HeadingPairs>
  <TitlesOfParts>
    <vt:vector size="10" baseType="lpstr">
      <vt:lpstr>Info</vt:lpstr>
      <vt:lpstr>Params</vt:lpstr>
      <vt:lpstr>Pipe</vt:lpstr>
      <vt:lpstr>Pipe_Sum</vt:lpstr>
      <vt:lpstr>Valve</vt:lpstr>
      <vt:lpstr>Scafold</vt:lpstr>
      <vt:lpstr>Detail_Pipe_org</vt:lpstr>
      <vt:lpstr>バルブ</vt:lpstr>
      <vt:lpstr>出力データ1</vt:lpstr>
      <vt:lpstr>入力データ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Minoru Fukuda</dc:creator>
  <cp:lastModifiedBy>MCI</cp:lastModifiedBy>
  <cp:lastPrinted>2016-03-06T12:02:56Z</cp:lastPrinted>
  <dcterms:created xsi:type="dcterms:W3CDTF">2006-09-16T00:00:00Z</dcterms:created>
  <dcterms:modified xsi:type="dcterms:W3CDTF">2016-03-07T05:36:46Z</dcterms:modified>
</cp:coreProperties>
</file>