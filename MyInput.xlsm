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myCustomUI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25" yWindow="120" windowWidth="15360" windowHeight="8010" activeTab="5"/>
  </bookViews>
  <sheets>
    <sheet name="Info" sheetId="3" r:id="rId1"/>
    <sheet name="Sys" sheetId="4" r:id="rId2"/>
    <sheet name="Common" sheetId="5" r:id="rId3"/>
    <sheet name="Pipe" sheetId="1" r:id="rId4"/>
    <sheet name="Scaffold" sheetId="2" r:id="rId5"/>
    <sheet name="Detail_Pipe" sheetId="6" r:id="rId6"/>
    <sheet name="Detail_Pipe (2)" sheetId="7" r:id="rId7"/>
  </sheets>
  <functionGroups builtInGroupCount="17"/>
  <definedNames>
    <definedName name="_xlnm._FilterDatabase" localSheetId="3" hidden="1">Pipe!$A$4:$BH$4</definedName>
    <definedName name="solver_eng" localSheetId="2" hidden="1">1</definedName>
    <definedName name="solver_eng" localSheetId="0" hidden="1">1</definedName>
    <definedName name="solver_eng" localSheetId="3" hidden="1">1</definedName>
    <definedName name="solver_eng" localSheetId="1" hidden="1">1</definedName>
    <definedName name="solver_neg" localSheetId="2" hidden="1">1</definedName>
    <definedName name="solver_neg" localSheetId="0" hidden="1">1</definedName>
    <definedName name="solver_neg" localSheetId="3" hidden="1">1</definedName>
    <definedName name="solver_neg" localSheetId="1" hidden="1">1</definedName>
    <definedName name="solver_num" localSheetId="2" hidden="1">0</definedName>
    <definedName name="solver_num" localSheetId="0" hidden="1">0</definedName>
    <definedName name="solver_num" localSheetId="3" hidden="1">0</definedName>
    <definedName name="solver_num" localSheetId="1" hidden="1">0</definedName>
    <definedName name="solver_opt" localSheetId="2" hidden="1">Common!#REF!</definedName>
    <definedName name="solver_opt" localSheetId="0" hidden="1">Info!#REF!</definedName>
    <definedName name="solver_opt" localSheetId="3" hidden="1">Pipe!$AR$1</definedName>
    <definedName name="solver_opt" localSheetId="1" hidden="1">Sys!#REF!</definedName>
    <definedName name="solver_typ" localSheetId="2" hidden="1">1</definedName>
    <definedName name="solver_typ" localSheetId="0" hidden="1">1</definedName>
    <definedName name="solver_typ" localSheetId="3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3" hidden="1">3</definedName>
    <definedName name="solver_ver" localSheetId="1" hidden="1">3</definedName>
    <definedName name="入力データ">Pipe!$A$5:$BI$25</definedName>
  </definedNames>
  <calcPr calcId="145621"/>
</workbook>
</file>

<file path=xl/calcChain.xml><?xml version="1.0" encoding="utf-8"?>
<calcChain xmlns="http://schemas.openxmlformats.org/spreadsheetml/2006/main">
  <c r="M47" i="7" l="1"/>
  <c r="L47" i="7"/>
  <c r="K47" i="7"/>
  <c r="J47" i="7"/>
  <c r="I47" i="7"/>
  <c r="M46" i="7"/>
  <c r="M48" i="7" s="1"/>
  <c r="L46" i="7"/>
  <c r="L48" i="7" s="1"/>
  <c r="K46" i="7"/>
  <c r="K48" i="7" s="1"/>
  <c r="J46" i="7"/>
  <c r="J48" i="7" s="1"/>
  <c r="I46" i="7"/>
  <c r="I48" i="7" s="1"/>
  <c r="F46" i="7"/>
  <c r="E46" i="7"/>
  <c r="D46" i="7"/>
  <c r="C46" i="7"/>
  <c r="B46" i="7"/>
  <c r="M45" i="7"/>
  <c r="L45" i="7"/>
  <c r="K45" i="7"/>
  <c r="J45" i="7"/>
  <c r="I45" i="7"/>
  <c r="H45" i="7"/>
  <c r="P44" i="7"/>
  <c r="P45" i="7" s="1"/>
  <c r="O44" i="7"/>
  <c r="N44" i="7"/>
  <c r="Q44" i="7" s="1"/>
  <c r="R43" i="7"/>
  <c r="P43" i="7"/>
  <c r="O43" i="7"/>
  <c r="O45" i="7" s="1"/>
  <c r="N43" i="7"/>
  <c r="M42" i="7"/>
  <c r="L42" i="7"/>
  <c r="K42" i="7"/>
  <c r="J42" i="7"/>
  <c r="I42" i="7"/>
  <c r="H42" i="7"/>
  <c r="P41" i="7"/>
  <c r="P42" i="7" s="1"/>
  <c r="O41" i="7"/>
  <c r="N41" i="7"/>
  <c r="Q41" i="7" s="1"/>
  <c r="R40" i="7"/>
  <c r="P40" i="7"/>
  <c r="O40" i="7"/>
  <c r="O42" i="7" s="1"/>
  <c r="N40" i="7"/>
  <c r="M39" i="7"/>
  <c r="L39" i="7"/>
  <c r="K39" i="7"/>
  <c r="J39" i="7"/>
  <c r="I39" i="7"/>
  <c r="H39" i="7"/>
  <c r="P38" i="7"/>
  <c r="P39" i="7" s="1"/>
  <c r="O38" i="7"/>
  <c r="N38" i="7"/>
  <c r="Q38" i="7" s="1"/>
  <c r="R37" i="7"/>
  <c r="P37" i="7"/>
  <c r="O37" i="7"/>
  <c r="O39" i="7" s="1"/>
  <c r="N37" i="7"/>
  <c r="M36" i="7"/>
  <c r="L36" i="7"/>
  <c r="K36" i="7"/>
  <c r="J36" i="7"/>
  <c r="I36" i="7"/>
  <c r="H36" i="7"/>
  <c r="P35" i="7"/>
  <c r="P36" i="7" s="1"/>
  <c r="O35" i="7"/>
  <c r="N35" i="7"/>
  <c r="Q35" i="7" s="1"/>
  <c r="R34" i="7"/>
  <c r="P34" i="7"/>
  <c r="O34" i="7"/>
  <c r="O36" i="7" s="1"/>
  <c r="N34" i="7"/>
  <c r="M33" i="7"/>
  <c r="L33" i="7"/>
  <c r="K33" i="7"/>
  <c r="J33" i="7"/>
  <c r="I33" i="7"/>
  <c r="H33" i="7"/>
  <c r="P32" i="7"/>
  <c r="P33" i="7" s="1"/>
  <c r="O32" i="7"/>
  <c r="N32" i="7"/>
  <c r="Q32" i="7" s="1"/>
  <c r="R31" i="7"/>
  <c r="P31" i="7"/>
  <c r="O31" i="7"/>
  <c r="O33" i="7" s="1"/>
  <c r="N31" i="7"/>
  <c r="M30" i="7"/>
  <c r="L30" i="7"/>
  <c r="K30" i="7"/>
  <c r="J30" i="7"/>
  <c r="I30" i="7"/>
  <c r="H30" i="7"/>
  <c r="P29" i="7"/>
  <c r="P30" i="7" s="1"/>
  <c r="O29" i="7"/>
  <c r="N29" i="7"/>
  <c r="Q29" i="7" s="1"/>
  <c r="R28" i="7"/>
  <c r="P28" i="7"/>
  <c r="O28" i="7"/>
  <c r="O30" i="7" s="1"/>
  <c r="N28" i="7"/>
  <c r="M27" i="7"/>
  <c r="L27" i="7"/>
  <c r="K27" i="7"/>
  <c r="J27" i="7"/>
  <c r="I27" i="7"/>
  <c r="H27" i="7"/>
  <c r="P26" i="7"/>
  <c r="P27" i="7" s="1"/>
  <c r="O26" i="7"/>
  <c r="N26" i="7"/>
  <c r="Q26" i="7" s="1"/>
  <c r="R25" i="7"/>
  <c r="P25" i="7"/>
  <c r="O25" i="7"/>
  <c r="N25" i="7"/>
  <c r="M24" i="7"/>
  <c r="L24" i="7"/>
  <c r="K24" i="7"/>
  <c r="J24" i="7"/>
  <c r="I24" i="7"/>
  <c r="H24" i="7"/>
  <c r="P23" i="7"/>
  <c r="P24" i="7" s="1"/>
  <c r="O23" i="7"/>
  <c r="N23" i="7"/>
  <c r="Q23" i="7" s="1"/>
  <c r="R22" i="7"/>
  <c r="P22" i="7"/>
  <c r="O22" i="7"/>
  <c r="O24" i="7" s="1"/>
  <c r="N22" i="7"/>
  <c r="N21" i="7"/>
  <c r="M21" i="7"/>
  <c r="L21" i="7"/>
  <c r="K21" i="7"/>
  <c r="J21" i="7"/>
  <c r="I21" i="7"/>
  <c r="H21" i="7"/>
  <c r="P20" i="7"/>
  <c r="P21" i="7" s="1"/>
  <c r="O20" i="7"/>
  <c r="N20" i="7"/>
  <c r="Q20" i="7" s="1"/>
  <c r="R19" i="7"/>
  <c r="P19" i="7"/>
  <c r="O19" i="7"/>
  <c r="O21" i="7" s="1"/>
  <c r="N19" i="7"/>
  <c r="M18" i="7"/>
  <c r="L18" i="7"/>
  <c r="K18" i="7"/>
  <c r="J18" i="7"/>
  <c r="I18" i="7"/>
  <c r="H18" i="7"/>
  <c r="P17" i="7"/>
  <c r="P18" i="7" s="1"/>
  <c r="O17" i="7"/>
  <c r="N17" i="7"/>
  <c r="Q17" i="7" s="1"/>
  <c r="R16" i="7"/>
  <c r="P16" i="7"/>
  <c r="O16" i="7"/>
  <c r="O18" i="7" s="1"/>
  <c r="N16" i="7"/>
  <c r="N15" i="7"/>
  <c r="M15" i="7"/>
  <c r="L15" i="7"/>
  <c r="K15" i="7"/>
  <c r="J15" i="7"/>
  <c r="I15" i="7"/>
  <c r="H15" i="7"/>
  <c r="P14" i="7"/>
  <c r="P15" i="7" s="1"/>
  <c r="O14" i="7"/>
  <c r="N14" i="7"/>
  <c r="Q14" i="7" s="1"/>
  <c r="R13" i="7"/>
  <c r="P13" i="7"/>
  <c r="O13" i="7"/>
  <c r="O15" i="7" s="1"/>
  <c r="N13" i="7"/>
  <c r="M12" i="7"/>
  <c r="L12" i="7"/>
  <c r="K12" i="7"/>
  <c r="J12" i="7"/>
  <c r="I12" i="7"/>
  <c r="H12" i="7"/>
  <c r="P11" i="7"/>
  <c r="P12" i="7" s="1"/>
  <c r="O11" i="7"/>
  <c r="N11" i="7"/>
  <c r="Q11" i="7" s="1"/>
  <c r="R10" i="7"/>
  <c r="P10" i="7"/>
  <c r="O10" i="7"/>
  <c r="O12" i="7" s="1"/>
  <c r="N10" i="7"/>
  <c r="N9" i="7"/>
  <c r="M9" i="7"/>
  <c r="L9" i="7"/>
  <c r="K9" i="7"/>
  <c r="J9" i="7"/>
  <c r="I9" i="7"/>
  <c r="H9" i="7"/>
  <c r="P8" i="7"/>
  <c r="O8" i="7"/>
  <c r="O47" i="7" s="1"/>
  <c r="N8" i="7"/>
  <c r="R7" i="7"/>
  <c r="P7" i="7"/>
  <c r="P46" i="7" s="1"/>
  <c r="O7" i="7"/>
  <c r="N7" i="7"/>
  <c r="N46" i="7" s="1"/>
  <c r="Q10" i="7" l="1"/>
  <c r="Q15" i="7"/>
  <c r="R15" i="7" s="1"/>
  <c r="Q16" i="7"/>
  <c r="Q21" i="7"/>
  <c r="R21" i="7" s="1"/>
  <c r="Q22" i="7"/>
  <c r="O9" i="7"/>
  <c r="Q9" i="7" s="1"/>
  <c r="R9" i="7" s="1"/>
  <c r="R48" i="7" s="1"/>
  <c r="O46" i="7"/>
  <c r="O48" i="7" s="1"/>
  <c r="Q7" i="7"/>
  <c r="Q8" i="7"/>
  <c r="Q47" i="7" s="1"/>
  <c r="N47" i="7"/>
  <c r="N48" i="7" s="1"/>
  <c r="P47" i="7"/>
  <c r="P48" i="7" s="1"/>
  <c r="P9" i="7"/>
  <c r="N12" i="7"/>
  <c r="Q12" i="7" s="1"/>
  <c r="R12" i="7" s="1"/>
  <c r="Q13" i="7"/>
  <c r="N18" i="7"/>
  <c r="Q18" i="7" s="1"/>
  <c r="R18" i="7" s="1"/>
  <c r="Q19" i="7"/>
  <c r="N24" i="7"/>
  <c r="Q24" i="7" s="1"/>
  <c r="R24" i="7" s="1"/>
  <c r="O27" i="7"/>
  <c r="Q25" i="7"/>
  <c r="N27" i="7"/>
  <c r="Q27" i="7" s="1"/>
  <c r="R27" i="7" s="1"/>
  <c r="Q28" i="7"/>
  <c r="N30" i="7"/>
  <c r="Q30" i="7" s="1"/>
  <c r="R30" i="7" s="1"/>
  <c r="Q31" i="7"/>
  <c r="N33" i="7"/>
  <c r="Q33" i="7" s="1"/>
  <c r="R33" i="7" s="1"/>
  <c r="Q34" i="7"/>
  <c r="N36" i="7"/>
  <c r="Q36" i="7" s="1"/>
  <c r="R36" i="7" s="1"/>
  <c r="Q37" i="7"/>
  <c r="N39" i="7"/>
  <c r="Q39" i="7" s="1"/>
  <c r="R39" i="7" s="1"/>
  <c r="Q40" i="7"/>
  <c r="N42" i="7"/>
  <c r="Q42" i="7" s="1"/>
  <c r="R42" i="7" s="1"/>
  <c r="Q43" i="7"/>
  <c r="N45" i="7"/>
  <c r="Q45" i="7" s="1"/>
  <c r="R45" i="7" s="1"/>
  <c r="Q46" i="7" l="1"/>
  <c r="Q48" i="7" s="1"/>
  <c r="M47" i="6" l="1"/>
  <c r="L47" i="6"/>
  <c r="K47" i="6"/>
  <c r="J47" i="6"/>
  <c r="I47" i="6"/>
  <c r="M46" i="6"/>
  <c r="M48" i="6" s="1"/>
  <c r="L46" i="6"/>
  <c r="L48" i="6" s="1"/>
  <c r="K46" i="6"/>
  <c r="K48" i="6" s="1"/>
  <c r="J46" i="6"/>
  <c r="J48" i="6" s="1"/>
  <c r="I46" i="6"/>
  <c r="I48" i="6" s="1"/>
  <c r="F46" i="6"/>
  <c r="E46" i="6"/>
  <c r="D46" i="6"/>
  <c r="C46" i="6"/>
  <c r="B46" i="6"/>
  <c r="M45" i="6"/>
  <c r="L45" i="6"/>
  <c r="K45" i="6"/>
  <c r="J45" i="6"/>
  <c r="I45" i="6"/>
  <c r="H45" i="6"/>
  <c r="P44" i="6"/>
  <c r="O44" i="6"/>
  <c r="N44" i="6"/>
  <c r="Q44" i="6" s="1"/>
  <c r="R43" i="6"/>
  <c r="P43" i="6"/>
  <c r="P45" i="6" s="1"/>
  <c r="O43" i="6"/>
  <c r="O45" i="6" s="1"/>
  <c r="N43" i="6"/>
  <c r="N45" i="6" s="1"/>
  <c r="Q45" i="6" s="1"/>
  <c r="R45" i="6" s="1"/>
  <c r="M42" i="6"/>
  <c r="L42" i="6"/>
  <c r="K42" i="6"/>
  <c r="J42" i="6"/>
  <c r="I42" i="6"/>
  <c r="H42" i="6"/>
  <c r="P41" i="6"/>
  <c r="O41" i="6"/>
  <c r="N41" i="6"/>
  <c r="Q41" i="6" s="1"/>
  <c r="R40" i="6"/>
  <c r="P40" i="6"/>
  <c r="P42" i="6" s="1"/>
  <c r="O40" i="6"/>
  <c r="O42" i="6" s="1"/>
  <c r="N40" i="6"/>
  <c r="N42" i="6" s="1"/>
  <c r="M39" i="6"/>
  <c r="L39" i="6"/>
  <c r="K39" i="6"/>
  <c r="J39" i="6"/>
  <c r="I39" i="6"/>
  <c r="H39" i="6"/>
  <c r="P38" i="6"/>
  <c r="O38" i="6"/>
  <c r="N38" i="6"/>
  <c r="Q38" i="6" s="1"/>
  <c r="R37" i="6"/>
  <c r="P37" i="6"/>
  <c r="P39" i="6" s="1"/>
  <c r="O37" i="6"/>
  <c r="O39" i="6" s="1"/>
  <c r="N37" i="6"/>
  <c r="N39" i="6" s="1"/>
  <c r="Q39" i="6" s="1"/>
  <c r="R39" i="6" s="1"/>
  <c r="M36" i="6"/>
  <c r="L36" i="6"/>
  <c r="K36" i="6"/>
  <c r="J36" i="6"/>
  <c r="I36" i="6"/>
  <c r="H36" i="6"/>
  <c r="P35" i="6"/>
  <c r="O35" i="6"/>
  <c r="N35" i="6"/>
  <c r="Q35" i="6" s="1"/>
  <c r="R34" i="6"/>
  <c r="P34" i="6"/>
  <c r="P36" i="6" s="1"/>
  <c r="O34" i="6"/>
  <c r="O36" i="6" s="1"/>
  <c r="N34" i="6"/>
  <c r="N36" i="6" s="1"/>
  <c r="M33" i="6"/>
  <c r="L33" i="6"/>
  <c r="K33" i="6"/>
  <c r="J33" i="6"/>
  <c r="I33" i="6"/>
  <c r="H33" i="6"/>
  <c r="P32" i="6"/>
  <c r="O32" i="6"/>
  <c r="N32" i="6"/>
  <c r="Q32" i="6" s="1"/>
  <c r="R31" i="6"/>
  <c r="P31" i="6"/>
  <c r="P33" i="6" s="1"/>
  <c r="O31" i="6"/>
  <c r="O33" i="6" s="1"/>
  <c r="N31" i="6"/>
  <c r="N33" i="6" s="1"/>
  <c r="Q33" i="6" s="1"/>
  <c r="R33" i="6" s="1"/>
  <c r="M30" i="6"/>
  <c r="L30" i="6"/>
  <c r="K30" i="6"/>
  <c r="J30" i="6"/>
  <c r="I30" i="6"/>
  <c r="H30" i="6"/>
  <c r="P29" i="6"/>
  <c r="O29" i="6"/>
  <c r="N29" i="6"/>
  <c r="Q29" i="6" s="1"/>
  <c r="R28" i="6"/>
  <c r="P28" i="6"/>
  <c r="P30" i="6" s="1"/>
  <c r="O28" i="6"/>
  <c r="O30" i="6" s="1"/>
  <c r="N28" i="6"/>
  <c r="N30" i="6" s="1"/>
  <c r="M27" i="6"/>
  <c r="L27" i="6"/>
  <c r="K27" i="6"/>
  <c r="J27" i="6"/>
  <c r="I27" i="6"/>
  <c r="H27" i="6"/>
  <c r="P26" i="6"/>
  <c r="O26" i="6"/>
  <c r="N26" i="6"/>
  <c r="Q26" i="6" s="1"/>
  <c r="R25" i="6"/>
  <c r="P25" i="6"/>
  <c r="P27" i="6" s="1"/>
  <c r="O25" i="6"/>
  <c r="O27" i="6" s="1"/>
  <c r="N25" i="6"/>
  <c r="N27" i="6" s="1"/>
  <c r="Q27" i="6" s="1"/>
  <c r="R27" i="6" s="1"/>
  <c r="M24" i="6"/>
  <c r="L24" i="6"/>
  <c r="K24" i="6"/>
  <c r="J24" i="6"/>
  <c r="I24" i="6"/>
  <c r="H24" i="6"/>
  <c r="P23" i="6"/>
  <c r="O23" i="6"/>
  <c r="N23" i="6"/>
  <c r="Q23" i="6" s="1"/>
  <c r="R22" i="6"/>
  <c r="P22" i="6"/>
  <c r="P24" i="6" s="1"/>
  <c r="O22" i="6"/>
  <c r="O24" i="6" s="1"/>
  <c r="N22" i="6"/>
  <c r="N24" i="6" s="1"/>
  <c r="M21" i="6"/>
  <c r="L21" i="6"/>
  <c r="K21" i="6"/>
  <c r="J21" i="6"/>
  <c r="I21" i="6"/>
  <c r="H21" i="6"/>
  <c r="P20" i="6"/>
  <c r="O20" i="6"/>
  <c r="N20" i="6"/>
  <c r="Q20" i="6" s="1"/>
  <c r="R19" i="6"/>
  <c r="P19" i="6"/>
  <c r="P21" i="6" s="1"/>
  <c r="O19" i="6"/>
  <c r="O21" i="6" s="1"/>
  <c r="N19" i="6"/>
  <c r="N21" i="6" s="1"/>
  <c r="Q21" i="6" s="1"/>
  <c r="R21" i="6" s="1"/>
  <c r="M18" i="6"/>
  <c r="L18" i="6"/>
  <c r="K18" i="6"/>
  <c r="J18" i="6"/>
  <c r="I18" i="6"/>
  <c r="H18" i="6"/>
  <c r="P17" i="6"/>
  <c r="O17" i="6"/>
  <c r="Q17" i="6" s="1"/>
  <c r="N17" i="6"/>
  <c r="R16" i="6"/>
  <c r="P16" i="6"/>
  <c r="P18" i="6" s="1"/>
  <c r="O16" i="6"/>
  <c r="O18" i="6" s="1"/>
  <c r="N16" i="6"/>
  <c r="N18" i="6" s="1"/>
  <c r="M15" i="6"/>
  <c r="L15" i="6"/>
  <c r="K15" i="6"/>
  <c r="J15" i="6"/>
  <c r="I15" i="6"/>
  <c r="H15" i="6"/>
  <c r="P14" i="6"/>
  <c r="O14" i="6"/>
  <c r="Q14" i="6" s="1"/>
  <c r="N14" i="6"/>
  <c r="R13" i="6"/>
  <c r="P13" i="6"/>
  <c r="P15" i="6" s="1"/>
  <c r="O13" i="6"/>
  <c r="O15" i="6" s="1"/>
  <c r="N13" i="6"/>
  <c r="N15" i="6" s="1"/>
  <c r="Q15" i="6" s="1"/>
  <c r="R15" i="6" s="1"/>
  <c r="M12" i="6"/>
  <c r="L12" i="6"/>
  <c r="K12" i="6"/>
  <c r="J12" i="6"/>
  <c r="I12" i="6"/>
  <c r="H12" i="6"/>
  <c r="P11" i="6"/>
  <c r="O11" i="6"/>
  <c r="Q11" i="6" s="1"/>
  <c r="N11" i="6"/>
  <c r="R10" i="6"/>
  <c r="P10" i="6"/>
  <c r="P12" i="6" s="1"/>
  <c r="O10" i="6"/>
  <c r="O12" i="6" s="1"/>
  <c r="N10" i="6"/>
  <c r="N12" i="6" s="1"/>
  <c r="M9" i="6"/>
  <c r="L9" i="6"/>
  <c r="K9" i="6"/>
  <c r="J9" i="6"/>
  <c r="I9" i="6"/>
  <c r="H9" i="6"/>
  <c r="P8" i="6"/>
  <c r="P47" i="6" s="1"/>
  <c r="O8" i="6"/>
  <c r="O47" i="6" s="1"/>
  <c r="N8" i="6"/>
  <c r="N47" i="6" s="1"/>
  <c r="R7" i="6"/>
  <c r="P7" i="6"/>
  <c r="P46" i="6" s="1"/>
  <c r="P48" i="6" s="1"/>
  <c r="O7" i="6"/>
  <c r="O9" i="6" s="1"/>
  <c r="N7" i="6"/>
  <c r="N46" i="6" s="1"/>
  <c r="N48" i="6" s="1"/>
  <c r="Q12" i="6" l="1"/>
  <c r="R12" i="6" s="1"/>
  <c r="Q18" i="6"/>
  <c r="R18" i="6" s="1"/>
  <c r="Q24" i="6"/>
  <c r="R24" i="6" s="1"/>
  <c r="Q30" i="6"/>
  <c r="R30" i="6" s="1"/>
  <c r="Q36" i="6"/>
  <c r="R36" i="6" s="1"/>
  <c r="Q42" i="6"/>
  <c r="R42" i="6" s="1"/>
  <c r="Q7" i="6"/>
  <c r="N9" i="6"/>
  <c r="Q9" i="6" s="1"/>
  <c r="R9" i="6" s="1"/>
  <c r="R48" i="6" s="1"/>
  <c r="P9" i="6"/>
  <c r="Q10" i="6"/>
  <c r="Q13" i="6"/>
  <c r="Q16" i="6"/>
  <c r="Q19" i="6"/>
  <c r="Q22" i="6"/>
  <c r="Q25" i="6"/>
  <c r="Q28" i="6"/>
  <c r="Q31" i="6"/>
  <c r="Q34" i="6"/>
  <c r="Q37" i="6"/>
  <c r="Q40" i="6"/>
  <c r="Q43" i="6"/>
  <c r="O46" i="6"/>
  <c r="O48" i="6" s="1"/>
  <c r="Q8" i="6"/>
  <c r="Q47" i="6" s="1"/>
  <c r="Q46" i="6" l="1"/>
  <c r="Q48" i="6" s="1"/>
</calcChain>
</file>

<file path=xl/sharedStrings.xml><?xml version="1.0" encoding="utf-8"?>
<sst xmlns="http://schemas.openxmlformats.org/spreadsheetml/2006/main" count="444" uniqueCount="187">
  <si>
    <t>A</t>
    <phoneticPr fontId="1"/>
  </si>
  <si>
    <t>管長</t>
    <rPh sb="0" eb="1">
      <t>カン</t>
    </rPh>
    <rPh sb="1" eb="2">
      <t>チョウ</t>
    </rPh>
    <phoneticPr fontId="1"/>
  </si>
  <si>
    <t>m</t>
    <phoneticPr fontId="1"/>
  </si>
  <si>
    <t>pc</t>
    <phoneticPr fontId="1"/>
  </si>
  <si>
    <t>材質</t>
    <rPh sb="0" eb="2">
      <t>ザイシツ</t>
    </rPh>
    <phoneticPr fontId="1"/>
  </si>
  <si>
    <t>管</t>
    <rPh sb="0" eb="1">
      <t>カン</t>
    </rPh>
    <phoneticPr fontId="1"/>
  </si>
  <si>
    <t>溶接</t>
    <rPh sb="0" eb="2">
      <t>ヨウセツ</t>
    </rPh>
    <phoneticPr fontId="1"/>
  </si>
  <si>
    <t>pc</t>
    <phoneticPr fontId="1"/>
  </si>
  <si>
    <t>pc</t>
    <phoneticPr fontId="1"/>
  </si>
  <si>
    <t>pc</t>
    <phoneticPr fontId="1"/>
  </si>
  <si>
    <t>高所</t>
    <rPh sb="0" eb="2">
      <t>コウショ</t>
    </rPh>
    <phoneticPr fontId="1"/>
  </si>
  <si>
    <t>m</t>
    <phoneticPr fontId="1"/>
  </si>
  <si>
    <t>ﾌｨｯﾃｨﾝｸﾞ数量</t>
    <rPh sb="8" eb="10">
      <t>スウリョウ</t>
    </rPh>
    <phoneticPr fontId="1"/>
  </si>
  <si>
    <t>塗装</t>
    <rPh sb="0" eb="2">
      <t>トソウ</t>
    </rPh>
    <phoneticPr fontId="1"/>
  </si>
  <si>
    <t>温度</t>
    <rPh sb="0" eb="2">
      <t>オンド</t>
    </rPh>
    <phoneticPr fontId="1"/>
  </si>
  <si>
    <t>℃</t>
    <phoneticPr fontId="1"/>
  </si>
  <si>
    <t>mm</t>
    <phoneticPr fontId="1"/>
  </si>
  <si>
    <t>pc</t>
    <phoneticPr fontId="1"/>
  </si>
  <si>
    <t>回</t>
    <rPh sb="0" eb="1">
      <t>カイ</t>
    </rPh>
    <phoneticPr fontId="1"/>
  </si>
  <si>
    <t>フ</t>
    <phoneticPr fontId="1"/>
  </si>
  <si>
    <t>機</t>
    <rPh sb="0" eb="1">
      <t>キ</t>
    </rPh>
    <phoneticPr fontId="1"/>
  </si>
  <si>
    <t>計</t>
    <rPh sb="0" eb="1">
      <t>ケイ</t>
    </rPh>
    <phoneticPr fontId="1"/>
  </si>
  <si>
    <t>塗</t>
    <rPh sb="0" eb="1">
      <t>ヌリ</t>
    </rPh>
    <phoneticPr fontId="1"/>
  </si>
  <si>
    <t>ｴﾘｱ
区分</t>
    <rPh sb="4" eb="6">
      <t>クブン</t>
    </rPh>
    <phoneticPr fontId="1"/>
  </si>
  <si>
    <t>複雑
度</t>
    <rPh sb="0" eb="2">
      <t>フクザツ</t>
    </rPh>
    <rPh sb="3" eb="4">
      <t>ド</t>
    </rPh>
    <phoneticPr fontId="1"/>
  </si>
  <si>
    <t>配管
径</t>
    <rPh sb="0" eb="2">
      <t>ハイカン</t>
    </rPh>
    <rPh sb="3" eb="4">
      <t>ケイ</t>
    </rPh>
    <phoneticPr fontId="1"/>
  </si>
  <si>
    <t>下
回数</t>
    <rPh sb="0" eb="1">
      <t>シタ</t>
    </rPh>
    <rPh sb="2" eb="4">
      <t>カイスウ</t>
    </rPh>
    <phoneticPr fontId="1"/>
  </si>
  <si>
    <t>上
回数</t>
    <rPh sb="0" eb="1">
      <t>ウエ</t>
    </rPh>
    <rPh sb="2" eb="4">
      <t>カイスウ</t>
    </rPh>
    <phoneticPr fontId="1"/>
  </si>
  <si>
    <t>上
塗料</t>
    <rPh sb="0" eb="1">
      <t>ウエ</t>
    </rPh>
    <rPh sb="2" eb="4">
      <t>トリョウ</t>
    </rPh>
    <phoneticPr fontId="1"/>
  </si>
  <si>
    <t>下
塗料</t>
    <rPh sb="0" eb="1">
      <t>シタ</t>
    </rPh>
    <rPh sb="2" eb="4">
      <t>トリョウ</t>
    </rPh>
    <phoneticPr fontId="1"/>
  </si>
  <si>
    <t>ｹﾚﾝ
種</t>
    <rPh sb="4" eb="5">
      <t>タネ</t>
    </rPh>
    <phoneticPr fontId="1"/>
  </si>
  <si>
    <t>圧力
ｸﾗｽ</t>
    <rPh sb="0" eb="2">
      <t>アツリョク</t>
    </rPh>
    <phoneticPr fontId="1"/>
  </si>
  <si>
    <t>配管
厚み</t>
    <rPh sb="0" eb="2">
      <t>ハイカン</t>
    </rPh>
    <rPh sb="3" eb="4">
      <t>アツ</t>
    </rPh>
    <phoneticPr fontId="1"/>
  </si>
  <si>
    <t>ﾗｲﾝ
番号</t>
    <rPh sb="4" eb="6">
      <t>バンゴウ</t>
    </rPh>
    <phoneticPr fontId="1"/>
  </si>
  <si>
    <t>ﾗｲﾝ識別</t>
    <rPh sb="3" eb="5">
      <t>シキベツ</t>
    </rPh>
    <phoneticPr fontId="1"/>
  </si>
  <si>
    <t>識</t>
    <rPh sb="0" eb="1">
      <t>シキ</t>
    </rPh>
    <phoneticPr fontId="1"/>
  </si>
  <si>
    <t>火禁</t>
    <rPh sb="0" eb="1">
      <t>ヒ</t>
    </rPh>
    <rPh sb="1" eb="2">
      <t>キン</t>
    </rPh>
    <phoneticPr fontId="1"/>
  </si>
  <si>
    <t>Sch等</t>
    <rPh sb="3" eb="4">
      <t>トウ</t>
    </rPh>
    <phoneticPr fontId="1"/>
  </si>
  <si>
    <t>J10等</t>
    <rPh sb="3" eb="4">
      <t>トウ</t>
    </rPh>
    <phoneticPr fontId="1"/>
  </si>
  <si>
    <t>材</t>
    <rPh sb="0" eb="1">
      <t>ザイ</t>
    </rPh>
    <phoneticPr fontId="1"/>
  </si>
  <si>
    <t>長</t>
    <rPh sb="0" eb="1">
      <t>ナガ</t>
    </rPh>
    <phoneticPr fontId="1"/>
  </si>
  <si>
    <t>仕</t>
    <rPh sb="0" eb="1">
      <t>ツコウ</t>
    </rPh>
    <phoneticPr fontId="1"/>
  </si>
  <si>
    <t>備</t>
    <rPh sb="0" eb="1">
      <t>ソナエ</t>
    </rPh>
    <phoneticPr fontId="1"/>
  </si>
  <si>
    <t>備考1</t>
    <rPh sb="0" eb="2">
      <t>ビコウ</t>
    </rPh>
    <phoneticPr fontId="1"/>
  </si>
  <si>
    <t>備考2</t>
    <rPh sb="0" eb="2">
      <t>ビコウ</t>
    </rPh>
    <phoneticPr fontId="1"/>
  </si>
  <si>
    <t>備考3</t>
    <rPh sb="0" eb="2">
      <t>ビコウ</t>
    </rPh>
    <phoneticPr fontId="1"/>
  </si>
  <si>
    <t>備考4</t>
    <rPh sb="0" eb="2">
      <t>ビコウ</t>
    </rPh>
    <phoneticPr fontId="1"/>
  </si>
  <si>
    <t>備考5</t>
    <rPh sb="0" eb="2">
      <t>ビコウ</t>
    </rPh>
    <phoneticPr fontId="1"/>
  </si>
  <si>
    <t>備考</t>
    <rPh sb="0" eb="2">
      <t>ビコウ</t>
    </rPh>
    <phoneticPr fontId="1"/>
  </si>
  <si>
    <t>仕様</t>
    <rPh sb="0" eb="2">
      <t>シヨウ</t>
    </rPh>
    <phoneticPr fontId="1"/>
  </si>
  <si>
    <t>計装品数量</t>
    <rPh sb="0" eb="2">
      <t>ケイソウ</t>
    </rPh>
    <rPh sb="2" eb="3">
      <t>ヒン</t>
    </rPh>
    <rPh sb="3" eb="5">
      <t>スウリョウ</t>
    </rPh>
    <phoneticPr fontId="1"/>
  </si>
  <si>
    <t>誤</t>
    <rPh sb="0" eb="1">
      <t>アヤマ</t>
    </rPh>
    <phoneticPr fontId="1"/>
  </si>
  <si>
    <t>#</t>
    <phoneticPr fontId="1"/>
  </si>
  <si>
    <t>配管
ｸﾗｽ</t>
    <rPh sb="0" eb="2">
      <t>ハイカン</t>
    </rPh>
    <phoneticPr fontId="1"/>
  </si>
  <si>
    <t>平面図</t>
    <rPh sb="0" eb="2">
      <t>ヘイメン</t>
    </rPh>
    <rPh sb="2" eb="3">
      <t>ズ</t>
    </rPh>
    <phoneticPr fontId="1"/>
  </si>
  <si>
    <t>ｱｲｿﾒ図</t>
    <rPh sb="4" eb="5">
      <t>ズ</t>
    </rPh>
    <phoneticPr fontId="1"/>
  </si>
  <si>
    <t>P&amp;ID</t>
    <phoneticPr fontId="1"/>
  </si>
  <si>
    <t>pc</t>
    <phoneticPr fontId="1"/>
  </si>
  <si>
    <t>DIA</t>
    <phoneticPr fontId="1"/>
  </si>
  <si>
    <t>CHK</t>
    <phoneticPr fontId="1"/>
  </si>
  <si>
    <t>断熱</t>
    <rPh sb="0" eb="2">
      <t>ダンネツ</t>
    </rPh>
    <phoneticPr fontId="1"/>
  </si>
  <si>
    <t>熱</t>
    <rPh sb="0" eb="1">
      <t>ネツ</t>
    </rPh>
    <phoneticPr fontId="1"/>
  </si>
  <si>
    <t>担当</t>
    <rPh sb="0" eb="2">
      <t>タントウ</t>
    </rPh>
    <phoneticPr fontId="3"/>
  </si>
  <si>
    <t>日付</t>
    <rPh sb="0" eb="2">
      <t>ヒヅケ</t>
    </rPh>
    <phoneticPr fontId="3"/>
  </si>
  <si>
    <t>JOB NO.</t>
    <phoneticPr fontId="3"/>
  </si>
  <si>
    <t>JOB件名</t>
    <rPh sb="3" eb="5">
      <t>ケンメイ</t>
    </rPh>
    <phoneticPr fontId="3"/>
  </si>
  <si>
    <t>ﾌﾟﾗﾝﾄ</t>
    <phoneticPr fontId="3"/>
  </si>
  <si>
    <t>備考</t>
    <rPh sb="0" eb="2">
      <t>ビコウ</t>
    </rPh>
    <phoneticPr fontId="3"/>
  </si>
  <si>
    <t>積算情報</t>
    <rPh sb="0" eb="2">
      <t>セキサン</t>
    </rPh>
    <rPh sb="2" eb="4">
      <t>ジョウホウ</t>
    </rPh>
    <phoneticPr fontId="3"/>
  </si>
  <si>
    <t>ｼｽﾃﾑ情報</t>
    <rPh sb="4" eb="6">
      <t>ジョウホウ</t>
    </rPh>
    <phoneticPr fontId="3"/>
  </si>
  <si>
    <t>DBﾊﾟｽ</t>
    <phoneticPr fontId="3"/>
  </si>
  <si>
    <t>積算共通情報</t>
    <rPh sb="0" eb="2">
      <t>セキサン</t>
    </rPh>
    <rPh sb="2" eb="4">
      <t>キョウツウ</t>
    </rPh>
    <rPh sb="4" eb="6">
      <t>ジョウホウ</t>
    </rPh>
    <phoneticPr fontId="3"/>
  </si>
  <si>
    <t>配管溶接工賃</t>
    <rPh sb="0" eb="2">
      <t>ハイカン</t>
    </rPh>
    <rPh sb="2" eb="4">
      <t>ヨウセツ</t>
    </rPh>
    <rPh sb="4" eb="6">
      <t>コウチン</t>
    </rPh>
    <phoneticPr fontId="3"/>
  </si>
  <si>
    <t>[k\/方]</t>
    <rPh sb="4" eb="5">
      <t>カタ</t>
    </rPh>
    <phoneticPr fontId="3"/>
  </si>
  <si>
    <t>配管組立工賃</t>
    <rPh sb="0" eb="2">
      <t>ハイカン</t>
    </rPh>
    <rPh sb="2" eb="4">
      <t>クミタテ</t>
    </rPh>
    <rPh sb="4" eb="6">
      <t>コウチン</t>
    </rPh>
    <phoneticPr fontId="3"/>
  </si>
  <si>
    <t>監督工賃</t>
    <rPh sb="0" eb="2">
      <t>カントク</t>
    </rPh>
    <rPh sb="2" eb="4">
      <t>コウチン</t>
    </rPh>
    <phoneticPr fontId="3"/>
  </si>
  <si>
    <t>Helpﾊﾟｽ</t>
    <phoneticPr fontId="3"/>
  </si>
  <si>
    <t>値</t>
    <rPh sb="0" eb="1">
      <t>アタイ</t>
    </rPh>
    <phoneticPr fontId="3"/>
  </si>
  <si>
    <t>単位</t>
    <rPh sb="0" eb="2">
      <t>タンイ</t>
    </rPh>
    <phoneticPr fontId="3"/>
  </si>
  <si>
    <t>D:\Work\Z_DontErase\Database\_MEst\_New\MyHelp.chm</t>
    <phoneticPr fontId="3"/>
  </si>
  <si>
    <t>ﾌﾗ
ﾝｼﾞ</t>
    <phoneticPr fontId="1"/>
  </si>
  <si>
    <t>一般
弁</t>
    <rPh sb="0" eb="2">
      <t>イッパン</t>
    </rPh>
    <rPh sb="3" eb="4">
      <t>ベン</t>
    </rPh>
    <phoneticPr fontId="1"/>
  </si>
  <si>
    <t>#</t>
    <phoneticPr fontId="1"/>
  </si>
  <si>
    <t>ﾀﾞｲﾔ
弁</t>
    <rPh sb="5" eb="6">
      <t>ベン</t>
    </rPh>
    <phoneticPr fontId="1"/>
  </si>
  <si>
    <t>#</t>
    <phoneticPr fontId="1"/>
  </si>
  <si>
    <t>断熱
厚み</t>
    <rPh sb="0" eb="2">
      <t>ダンネツ</t>
    </rPh>
    <rPh sb="3" eb="4">
      <t>アツ</t>
    </rPh>
    <phoneticPr fontId="1"/>
  </si>
  <si>
    <t>断熱
材</t>
    <rPh sb="0" eb="2">
      <t>ダンネツ</t>
    </rPh>
    <rPh sb="3" eb="4">
      <t>ザイ</t>
    </rPh>
    <phoneticPr fontId="1"/>
  </si>
  <si>
    <t>用途</t>
    <rPh sb="0" eb="2">
      <t>ヨウト</t>
    </rPh>
    <phoneticPr fontId="1"/>
  </si>
  <si>
    <t>注</t>
    <rPh sb="0" eb="1">
      <t>チュウ</t>
    </rPh>
    <phoneticPr fontId="1"/>
  </si>
  <si>
    <t>D:\Work\Z_DontErase\Database\_MEst\_New\MyData.xlsm</t>
    <phoneticPr fontId="3"/>
  </si>
  <si>
    <t>a,t,x</t>
    <phoneticPr fontId="1"/>
  </si>
  <si>
    <t>ｴﾙﾎﾞ係数</t>
    <phoneticPr fontId="3"/>
  </si>
  <si>
    <t>ﾌﾗﾝｼﾞ係数</t>
  </si>
  <si>
    <t>h,c</t>
    <phoneticPr fontId="1"/>
  </si>
  <si>
    <t>計装
弁</t>
    <phoneticPr fontId="1"/>
  </si>
  <si>
    <t>流量
計</t>
    <phoneticPr fontId="1"/>
  </si>
  <si>
    <t>弁数量</t>
    <rPh sb="0" eb="1">
      <t>ベン</t>
    </rPh>
    <rPh sb="1" eb="3">
      <t>スウリョウ</t>
    </rPh>
    <phoneticPr fontId="1"/>
  </si>
  <si>
    <t>他</t>
    <rPh sb="0" eb="1">
      <t>タ</t>
    </rPh>
    <phoneticPr fontId="1"/>
  </si>
  <si>
    <t>#</t>
    <phoneticPr fontId="1"/>
  </si>
  <si>
    <t>1～3</t>
    <phoneticPr fontId="1"/>
  </si>
  <si>
    <t>F</t>
    <phoneticPr fontId="1"/>
  </si>
  <si>
    <t>E</t>
    <phoneticPr fontId="1"/>
  </si>
  <si>
    <t>T</t>
    <phoneticPr fontId="1"/>
  </si>
  <si>
    <t>R</t>
    <phoneticPr fontId="1"/>
  </si>
  <si>
    <t>C</t>
    <phoneticPr fontId="1"/>
  </si>
  <si>
    <t>GAT</t>
    <phoneticPr fontId="1"/>
  </si>
  <si>
    <t>GLB</t>
    <phoneticPr fontId="1"/>
  </si>
  <si>
    <t>BAL</t>
    <phoneticPr fontId="1"/>
  </si>
  <si>
    <t>BAT</t>
    <phoneticPr fontId="1"/>
  </si>
  <si>
    <t>PLG</t>
    <phoneticPr fontId="1"/>
  </si>
  <si>
    <t>a</t>
    <phoneticPr fontId="1"/>
  </si>
  <si>
    <t>工程</t>
    <rPh sb="0" eb="2">
      <t>コウテイ</t>
    </rPh>
    <phoneticPr fontId="3"/>
  </si>
  <si>
    <t>課・係</t>
    <rPh sb="0" eb="1">
      <t>カ</t>
    </rPh>
    <rPh sb="2" eb="3">
      <t>カカリ</t>
    </rPh>
    <phoneticPr fontId="3"/>
  </si>
  <si>
    <t>見積番号</t>
    <rPh sb="0" eb="2">
      <t>ミツモリ</t>
    </rPh>
    <rPh sb="2" eb="4">
      <t>バンゴウ</t>
    </rPh>
    <phoneticPr fontId="3"/>
  </si>
  <si>
    <t>改訂番号</t>
    <rPh sb="0" eb="2">
      <t>カイテイ</t>
    </rPh>
    <rPh sb="2" eb="4">
      <t>バンゴウ</t>
    </rPh>
    <phoneticPr fontId="3"/>
  </si>
  <si>
    <t>テスト課テスト係</t>
    <phoneticPr fontId="3"/>
  </si>
  <si>
    <t>テストPLANT</t>
    <phoneticPr fontId="3"/>
  </si>
  <si>
    <t>テスト工程</t>
    <phoneticPr fontId="3"/>
  </si>
  <si>
    <t>適当なメモ等をここに...1</t>
    <phoneticPr fontId="3"/>
  </si>
  <si>
    <t>テスト改訂1</t>
    <phoneticPr fontId="3"/>
  </si>
  <si>
    <t>テスト担当者1</t>
    <phoneticPr fontId="3"/>
  </si>
  <si>
    <t>7Z00001A</t>
    <phoneticPr fontId="3"/>
  </si>
  <si>
    <t>テストJOB</t>
    <phoneticPr fontId="3"/>
  </si>
  <si>
    <t>テスト見積2</t>
    <phoneticPr fontId="3"/>
  </si>
  <si>
    <t>配管工事費(Shop&amp;Field) 純工事工数・工事費明細</t>
    <rPh sb="0" eb="2">
      <t>ハイカン</t>
    </rPh>
    <rPh sb="2" eb="5">
      <t>コウジヒ</t>
    </rPh>
    <rPh sb="18" eb="19">
      <t>ジュン</t>
    </rPh>
    <rPh sb="19" eb="21">
      <t>コウジ</t>
    </rPh>
    <rPh sb="21" eb="23">
      <t>コウスウ</t>
    </rPh>
    <rPh sb="24" eb="26">
      <t>コウジ</t>
    </rPh>
    <rPh sb="26" eb="27">
      <t>ヒ</t>
    </rPh>
    <rPh sb="27" eb="29">
      <t>メイサイ</t>
    </rPh>
    <phoneticPr fontId="12"/>
  </si>
  <si>
    <t>工賃 \/方</t>
    <rPh sb="0" eb="2">
      <t>コウチン</t>
    </rPh>
    <rPh sb="5" eb="6">
      <t>カタ</t>
    </rPh>
    <phoneticPr fontId="11"/>
  </si>
  <si>
    <t>配管工</t>
    <rPh sb="0" eb="2">
      <t>ハイカン</t>
    </rPh>
    <rPh sb="2" eb="3">
      <t>コウ</t>
    </rPh>
    <phoneticPr fontId="12"/>
  </si>
  <si>
    <t>溶接工</t>
    <rPh sb="0" eb="2">
      <t>ヨウセツ</t>
    </rPh>
    <rPh sb="2" eb="3">
      <t>コウ</t>
    </rPh>
    <phoneticPr fontId="12"/>
  </si>
  <si>
    <t>材質</t>
    <rPh sb="0" eb="2">
      <t>ザイシツ</t>
    </rPh>
    <phoneticPr fontId="12"/>
  </si>
  <si>
    <t>仕様</t>
  </si>
  <si>
    <t>工数</t>
    <rPh sb="0" eb="2">
      <t>コウスウ</t>
    </rPh>
    <phoneticPr fontId="11"/>
  </si>
  <si>
    <t>工賃</t>
    <rPh sb="0" eb="2">
      <t>コウチン</t>
    </rPh>
    <phoneticPr fontId="11"/>
  </si>
  <si>
    <t>Sch. No.</t>
  </si>
  <si>
    <t>延長さ</t>
    <rPh sb="0" eb="1">
      <t>ノ</t>
    </rPh>
    <rPh sb="1" eb="2">
      <t>ナガ</t>
    </rPh>
    <phoneticPr fontId="12"/>
  </si>
  <si>
    <t>平均径</t>
    <rPh sb="0" eb="2">
      <t>ヘイキン</t>
    </rPh>
    <rPh sb="2" eb="3">
      <t>ケイ</t>
    </rPh>
    <phoneticPr fontId="12"/>
  </si>
  <si>
    <t>ﾊﾟｲﾌﾟ重量</t>
    <rPh sb="5" eb="7">
      <t>ジュウリョウ</t>
    </rPh>
    <phoneticPr fontId="12"/>
  </si>
  <si>
    <t>場所</t>
  </si>
  <si>
    <t>配管</t>
    <rPh sb="0" eb="2">
      <t>ハイカン</t>
    </rPh>
    <phoneticPr fontId="12"/>
  </si>
  <si>
    <t>溶接</t>
    <rPh sb="0" eb="2">
      <t>ヨウセツ</t>
    </rPh>
    <phoneticPr fontId="11"/>
  </si>
  <si>
    <t>その他</t>
    <rPh sb="2" eb="3">
      <t>タ</t>
    </rPh>
    <phoneticPr fontId="12"/>
  </si>
  <si>
    <t>小計</t>
    <rPh sb="0" eb="1">
      <t>ショウ</t>
    </rPh>
    <rPh sb="1" eb="2">
      <t>ケイ</t>
    </rPh>
    <phoneticPr fontId="12"/>
  </si>
  <si>
    <t>配管</t>
    <rPh sb="0" eb="2">
      <t>ハイカン</t>
    </rPh>
    <phoneticPr fontId="11"/>
  </si>
  <si>
    <t>溶接</t>
    <rPh sb="0" eb="2">
      <t>ヨウセツ</t>
    </rPh>
    <phoneticPr fontId="12"/>
  </si>
  <si>
    <t>計</t>
    <rPh sb="0" eb="1">
      <t>ケイ</t>
    </rPh>
    <phoneticPr fontId="11"/>
  </si>
  <si>
    <t>工数・金額</t>
    <rPh sb="0" eb="2">
      <t>コウスウ</t>
    </rPh>
    <rPh sb="3" eb="5">
      <t>キンガク</t>
    </rPh>
    <phoneticPr fontId="12"/>
  </si>
  <si>
    <t>φ</t>
  </si>
  <si>
    <t>kg</t>
  </si>
  <si>
    <t>α%</t>
  </si>
  <si>
    <t>P</t>
  </si>
  <si>
    <t>W</t>
  </si>
  <si>
    <t>STPG410S</t>
  </si>
  <si>
    <t>Shop</t>
  </si>
  <si>
    <t>Field</t>
  </si>
  <si>
    <t>計</t>
    <rPh sb="0" eb="1">
      <t>ケイ</t>
    </rPh>
    <phoneticPr fontId="12"/>
  </si>
  <si>
    <t>STPG410E</t>
  </si>
  <si>
    <t>SUS304TPE</t>
  </si>
  <si>
    <t>20S</t>
  </si>
  <si>
    <t>SUS304TPS</t>
  </si>
  <si>
    <t>SUS316TPE</t>
  </si>
  <si>
    <t>10S</t>
  </si>
  <si>
    <t>SUS321TPE</t>
  </si>
  <si>
    <t>SUS316LTPE</t>
  </si>
  <si>
    <t>SUS317TPS</t>
  </si>
  <si>
    <t>SUS317LTPS</t>
  </si>
  <si>
    <t>SUS347TPE</t>
  </si>
  <si>
    <t>SUS329JTPS</t>
  </si>
  <si>
    <t>合計</t>
    <rPh sb="0" eb="2">
      <t>ゴウケイ</t>
    </rPh>
    <phoneticPr fontId="12"/>
  </si>
  <si>
    <t>∑L: (m)</t>
    <phoneticPr fontId="11"/>
  </si>
  <si>
    <t>BM</t>
    <phoneticPr fontId="11"/>
  </si>
  <si>
    <t>DB</t>
    <phoneticPr fontId="11"/>
  </si>
  <si>
    <t>P</t>
    <phoneticPr fontId="11"/>
  </si>
  <si>
    <t>W</t>
    <phoneticPr fontId="11"/>
  </si>
  <si>
    <t>O</t>
    <phoneticPr fontId="11"/>
  </si>
  <si>
    <t>P+W+O</t>
    <phoneticPr fontId="11"/>
  </si>
  <si>
    <t>Shop</t>
    <phoneticPr fontId="11"/>
  </si>
  <si>
    <t>Field</t>
    <phoneticPr fontId="11"/>
  </si>
  <si>
    <t>工事</t>
    <phoneticPr fontId="12"/>
  </si>
  <si>
    <t>ｲﾝﾁﾒｰﾀ</t>
    <phoneticPr fontId="11"/>
  </si>
  <si>
    <t>ﾀﾞｲﾔｲﾝﾁ</t>
    <phoneticPr fontId="11"/>
  </si>
  <si>
    <t>ﾌﾟﾚﾌｧﾌﾞ率</t>
    <phoneticPr fontId="11"/>
  </si>
  <si>
    <t>f1a</t>
    <phoneticPr fontId="1"/>
  </si>
  <si>
    <t>f1a</t>
    <phoneticPr fontId="1"/>
  </si>
  <si>
    <t>a1x</t>
    <phoneticPr fontId="1"/>
  </si>
  <si>
    <t>a</t>
    <phoneticPr fontId="1"/>
  </si>
  <si>
    <t>a1a</t>
    <phoneticPr fontId="1"/>
  </si>
  <si>
    <t>pc</t>
    <phoneticPr fontId="1"/>
  </si>
  <si>
    <t>計器</t>
    <rPh sb="0" eb="2">
      <t>ケイキ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</si>
</sst>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m&quot;月&quot;dd&quot;日&quot;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theme="1"/>
      <name val="ＭＳ 明朝"/>
      <family val="1"/>
      <charset val="128"/>
    </font>
    <font>
      <sz val="12"/>
      <color theme="1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8"/>
      <color theme="1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MS PGothic"/>
      <family val="3"/>
    </font>
    <font>
      <sz val="8"/>
      <name val="ＭＳ 明朝"/>
      <family val="1"/>
      <charset val="128"/>
    </font>
    <font>
      <sz val="6"/>
      <name val="ＭＳ Ｐゴシック"/>
      <family val="3"/>
      <charset val="128"/>
      <scheme val="minor"/>
    </font>
    <font>
      <sz val="6"/>
      <name val="MS PGothic"/>
      <family val="3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38" fontId="8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97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0" borderId="0" xfId="0" applyFont="1"/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8" xfId="0" applyFont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5" fillId="0" borderId="8" xfId="0" applyFont="1" applyBorder="1" applyAlignment="1">
      <alignment horizontal="left" vertical="center"/>
    </xf>
    <xf numFmtId="176" fontId="5" fillId="0" borderId="8" xfId="0" applyNumberFormat="1" applyFont="1" applyBorder="1" applyAlignment="1">
      <alignment horizontal="left" vertical="center"/>
    </xf>
    <xf numFmtId="0" fontId="5" fillId="0" borderId="8" xfId="0" applyFont="1" applyBorder="1" applyAlignment="1">
      <alignment horizontal="left" vertical="top"/>
    </xf>
    <xf numFmtId="0" fontId="6" fillId="0" borderId="0" xfId="0" applyFont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4" borderId="8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2" borderId="8" xfId="0" applyFont="1" applyFill="1" applyBorder="1" applyAlignment="1">
      <alignment vertical="center"/>
    </xf>
    <xf numFmtId="2" fontId="7" fillId="0" borderId="8" xfId="0" applyNumberFormat="1" applyFont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0" fontId="10" fillId="0" borderId="13" xfId="2" applyFont="1" applyBorder="1" applyAlignment="1">
      <alignment horizontal="center" vertical="center"/>
    </xf>
    <xf numFmtId="0" fontId="10" fillId="0" borderId="14" xfId="2" applyFont="1" applyBorder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10" fillId="0" borderId="15" xfId="2" applyFont="1" applyBorder="1" applyAlignment="1">
      <alignment horizontal="center" vertical="center"/>
    </xf>
    <xf numFmtId="3" fontId="10" fillId="0" borderId="16" xfId="2" applyNumberFormat="1" applyFont="1" applyBorder="1" applyAlignment="1">
      <alignment horizontal="center" vertical="center"/>
    </xf>
    <xf numFmtId="3" fontId="10" fillId="0" borderId="17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3" fontId="10" fillId="0" borderId="19" xfId="2" applyNumberFormat="1" applyFont="1" applyBorder="1" applyAlignment="1">
      <alignment horizontal="center" vertical="center"/>
    </xf>
    <xf numFmtId="3" fontId="10" fillId="0" borderId="20" xfId="2" applyNumberFormat="1" applyFont="1" applyBorder="1" applyAlignment="1">
      <alignment horizontal="center" vertical="center"/>
    </xf>
    <xf numFmtId="0" fontId="10" fillId="3" borderId="21" xfId="2" applyFont="1" applyFill="1" applyBorder="1" applyAlignment="1">
      <alignment horizontal="center" vertical="center"/>
    </xf>
    <xf numFmtId="0" fontId="10" fillId="3" borderId="22" xfId="2" applyFont="1" applyFill="1" applyBorder="1" applyAlignment="1">
      <alignment horizontal="centerContinuous" vertical="center"/>
    </xf>
    <xf numFmtId="0" fontId="10" fillId="3" borderId="23" xfId="2" applyFont="1" applyFill="1" applyBorder="1" applyAlignment="1">
      <alignment horizontal="centerContinuous" vertical="center"/>
    </xf>
    <xf numFmtId="0" fontId="10" fillId="3" borderId="24" xfId="2" applyFont="1" applyFill="1" applyBorder="1" applyAlignment="1">
      <alignment horizontal="centerContinuous" vertical="center"/>
    </xf>
    <xf numFmtId="0" fontId="10" fillId="3" borderId="22" xfId="2" applyFont="1" applyFill="1" applyBorder="1" applyAlignment="1">
      <alignment horizontal="center" vertical="center"/>
    </xf>
    <xf numFmtId="0" fontId="10" fillId="3" borderId="24" xfId="2" applyFont="1" applyFill="1" applyBorder="1" applyAlignment="1">
      <alignment horizontal="center" vertical="center"/>
    </xf>
    <xf numFmtId="0" fontId="10" fillId="3" borderId="21" xfId="2" applyFont="1" applyFill="1" applyBorder="1" applyAlignment="1">
      <alignment vertical="center"/>
    </xf>
    <xf numFmtId="0" fontId="10" fillId="3" borderId="25" xfId="2" applyFont="1" applyFill="1" applyBorder="1" applyAlignment="1">
      <alignment horizontal="center" vertical="center"/>
    </xf>
    <xf numFmtId="0" fontId="10" fillId="3" borderId="26" xfId="2" applyFont="1" applyFill="1" applyBorder="1" applyAlignment="1">
      <alignment horizontal="center" vertical="center"/>
    </xf>
    <xf numFmtId="0" fontId="10" fillId="3" borderId="27" xfId="2" applyFont="1" applyFill="1" applyBorder="1" applyAlignment="1">
      <alignment horizontal="center" vertical="center"/>
    </xf>
    <xf numFmtId="0" fontId="10" fillId="3" borderId="28" xfId="2" applyFont="1" applyFill="1" applyBorder="1" applyAlignment="1">
      <alignment horizontal="center" vertical="center"/>
    </xf>
    <xf numFmtId="0" fontId="10" fillId="3" borderId="29" xfId="2" applyFont="1" applyFill="1" applyBorder="1" applyAlignment="1">
      <alignment horizontal="center" vertical="center"/>
    </xf>
    <xf numFmtId="0" fontId="10" fillId="0" borderId="21" xfId="2" applyFont="1" applyBorder="1" applyAlignment="1">
      <alignment horizontal="center" vertical="center"/>
    </xf>
    <xf numFmtId="38" fontId="10" fillId="0" borderId="15" xfId="1" applyFont="1" applyBorder="1" applyAlignment="1">
      <alignment vertical="center"/>
    </xf>
    <xf numFmtId="38" fontId="10" fillId="0" borderId="21" xfId="1" applyFont="1" applyBorder="1" applyAlignment="1">
      <alignment vertical="center"/>
    </xf>
    <xf numFmtId="0" fontId="10" fillId="0" borderId="25" xfId="2" applyFont="1" applyBorder="1" applyAlignment="1">
      <alignment horizontal="center" vertical="center"/>
    </xf>
    <xf numFmtId="0" fontId="10" fillId="0" borderId="30" xfId="2" applyFont="1" applyBorder="1" applyAlignment="1">
      <alignment horizontal="center" vertical="center"/>
    </xf>
    <xf numFmtId="38" fontId="10" fillId="0" borderId="30" xfId="1" applyFont="1" applyBorder="1" applyAlignment="1">
      <alignment vertical="center"/>
    </xf>
    <xf numFmtId="38" fontId="10" fillId="0" borderId="31" xfId="1" applyFont="1" applyBorder="1" applyAlignment="1">
      <alignment vertical="center"/>
    </xf>
    <xf numFmtId="0" fontId="10" fillId="0" borderId="27" xfId="2" applyFont="1" applyBorder="1" applyAlignment="1">
      <alignment horizontal="center" vertical="center"/>
    </xf>
    <xf numFmtId="38" fontId="10" fillId="0" borderId="18" xfId="1" applyFont="1" applyBorder="1" applyAlignment="1">
      <alignment vertical="center"/>
    </xf>
    <xf numFmtId="0" fontId="10" fillId="3" borderId="15" xfId="2" applyFont="1" applyFill="1" applyBorder="1" applyAlignment="1">
      <alignment horizontal="center" vertical="center"/>
    </xf>
    <xf numFmtId="38" fontId="10" fillId="3" borderId="15" xfId="1" applyFont="1" applyFill="1" applyBorder="1" applyAlignment="1">
      <alignment vertical="center"/>
    </xf>
    <xf numFmtId="38" fontId="10" fillId="3" borderId="21" xfId="1" applyFont="1" applyFill="1" applyBorder="1" applyAlignment="1">
      <alignment vertical="center"/>
    </xf>
    <xf numFmtId="0" fontId="10" fillId="3" borderId="30" xfId="2" applyFont="1" applyFill="1" applyBorder="1" applyAlignment="1">
      <alignment horizontal="center" vertical="center"/>
    </xf>
    <xf numFmtId="38" fontId="10" fillId="3" borderId="30" xfId="1" applyFont="1" applyFill="1" applyBorder="1" applyAlignment="1">
      <alignment vertical="center"/>
    </xf>
    <xf numFmtId="38" fontId="10" fillId="3" borderId="31" xfId="1" applyFont="1" applyFill="1" applyBorder="1" applyAlignment="1">
      <alignment vertical="center"/>
    </xf>
    <xf numFmtId="0" fontId="10" fillId="3" borderId="18" xfId="2" applyFont="1" applyFill="1" applyBorder="1" applyAlignment="1">
      <alignment horizontal="center" vertical="center"/>
    </xf>
    <xf numFmtId="38" fontId="10" fillId="3" borderId="18" xfId="1" applyFont="1" applyFill="1" applyBorder="1" applyAlignment="1">
      <alignment vertical="center"/>
    </xf>
    <xf numFmtId="38" fontId="10" fillId="0" borderId="21" xfId="1" applyFont="1" applyBorder="1" applyAlignment="1">
      <alignment vertical="center"/>
    </xf>
    <xf numFmtId="0" fontId="10" fillId="3" borderId="21" xfId="2" applyFont="1" applyFill="1" applyBorder="1" applyAlignment="1">
      <alignment horizontal="center" vertical="center"/>
    </xf>
    <xf numFmtId="0" fontId="10" fillId="3" borderId="25" xfId="2" applyFont="1" applyFill="1" applyBorder="1" applyAlignment="1">
      <alignment horizontal="center" vertical="center"/>
    </xf>
    <xf numFmtId="0" fontId="10" fillId="3" borderId="27" xfId="2" applyFont="1" applyFill="1" applyBorder="1" applyAlignment="1">
      <alignment horizontal="center" vertical="center"/>
    </xf>
    <xf numFmtId="38" fontId="10" fillId="3" borderId="21" xfId="1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38" fontId="10" fillId="0" borderId="21" xfId="1" applyFont="1" applyBorder="1" applyAlignment="1">
      <alignment vertical="center"/>
    </xf>
    <xf numFmtId="38" fontId="10" fillId="0" borderId="25" xfId="1" applyFont="1" applyBorder="1" applyAlignment="1">
      <alignment vertical="center"/>
    </xf>
    <xf numFmtId="38" fontId="10" fillId="0" borderId="27" xfId="1" applyFont="1" applyBorder="1" applyAlignment="1">
      <alignment vertical="center"/>
    </xf>
    <xf numFmtId="0" fontId="10" fillId="3" borderId="21" xfId="2" applyFont="1" applyFill="1" applyBorder="1" applyAlignment="1">
      <alignment horizontal="center" vertical="center"/>
    </xf>
    <xf numFmtId="0" fontId="10" fillId="3" borderId="25" xfId="2" applyFont="1" applyFill="1" applyBorder="1" applyAlignment="1">
      <alignment horizontal="center" vertical="center"/>
    </xf>
    <xf numFmtId="0" fontId="10" fillId="3" borderId="27" xfId="2" applyFont="1" applyFill="1" applyBorder="1" applyAlignment="1">
      <alignment horizontal="center" vertical="center"/>
    </xf>
    <xf numFmtId="38" fontId="10" fillId="3" borderId="21" xfId="1" applyFont="1" applyFill="1" applyBorder="1" applyAlignment="1">
      <alignment vertical="center"/>
    </xf>
    <xf numFmtId="38" fontId="10" fillId="3" borderId="25" xfId="1" applyFont="1" applyFill="1" applyBorder="1" applyAlignment="1">
      <alignment vertical="center"/>
    </xf>
    <xf numFmtId="38" fontId="10" fillId="3" borderId="27" xfId="1" applyFont="1" applyFill="1" applyBorder="1" applyAlignment="1">
      <alignment vertical="center"/>
    </xf>
  </cellXfs>
  <cellStyles count="3">
    <cellStyle name="桁区切り" xfId="1" builtinId="6"/>
    <cellStyle name="標準" xfId="0" builtinId="0"/>
    <cellStyle name="標準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showGridLines="0" zoomScaleNormal="100" workbookViewId="0">
      <selection activeCell="B4" sqref="B4"/>
    </sheetView>
  </sheetViews>
  <sheetFormatPr defaultRowHeight="14.25"/>
  <cols>
    <col min="1" max="1" width="9.75" style="18" customWidth="1"/>
    <col min="2" max="2" width="62.875" style="18" customWidth="1"/>
    <col min="3" max="16384" width="9" style="18"/>
  </cols>
  <sheetData>
    <row r="1" spans="1:2">
      <c r="A1" s="18" t="s">
        <v>68</v>
      </c>
    </row>
    <row r="2" spans="1:2">
      <c r="A2" s="20" t="s">
        <v>113</v>
      </c>
      <c r="B2" s="21" t="s">
        <v>123</v>
      </c>
    </row>
    <row r="3" spans="1:2">
      <c r="A3" s="20" t="s">
        <v>114</v>
      </c>
      <c r="B3" s="22" t="s">
        <v>119</v>
      </c>
    </row>
    <row r="4" spans="1:2">
      <c r="A4" s="20" t="s">
        <v>62</v>
      </c>
      <c r="B4" s="21" t="s">
        <v>120</v>
      </c>
    </row>
    <row r="5" spans="1:2">
      <c r="A5" s="20" t="s">
        <v>63</v>
      </c>
      <c r="B5" s="22">
        <v>42370</v>
      </c>
    </row>
    <row r="6" spans="1:2">
      <c r="A6" s="20" t="s">
        <v>64</v>
      </c>
      <c r="B6" s="21" t="s">
        <v>121</v>
      </c>
    </row>
    <row r="7" spans="1:2">
      <c r="A7" s="20" t="s">
        <v>65</v>
      </c>
      <c r="B7" s="21" t="s">
        <v>122</v>
      </c>
    </row>
    <row r="8" spans="1:2">
      <c r="A8" s="20" t="s">
        <v>112</v>
      </c>
      <c r="B8" s="21" t="s">
        <v>115</v>
      </c>
    </row>
    <row r="9" spans="1:2">
      <c r="A9" s="20" t="s">
        <v>66</v>
      </c>
      <c r="B9" s="21" t="s">
        <v>116</v>
      </c>
    </row>
    <row r="10" spans="1:2">
      <c r="A10" s="20" t="s">
        <v>111</v>
      </c>
      <c r="B10" s="21" t="s">
        <v>117</v>
      </c>
    </row>
    <row r="11" spans="1:2" ht="102" customHeight="1">
      <c r="A11" s="20" t="s">
        <v>67</v>
      </c>
      <c r="B11" s="23" t="s">
        <v>118</v>
      </c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showGridLines="0" zoomScaleNormal="100" workbookViewId="0">
      <selection activeCell="B21" sqref="B21"/>
    </sheetView>
  </sheetViews>
  <sheetFormatPr defaultRowHeight="14.25"/>
  <cols>
    <col min="1" max="1" width="9.75" style="18" customWidth="1"/>
    <col min="2" max="2" width="72.375" style="18" customWidth="1"/>
    <col min="3" max="16384" width="9" style="18"/>
  </cols>
  <sheetData>
    <row r="1" spans="1:5">
      <c r="A1" s="18" t="s">
        <v>69</v>
      </c>
    </row>
    <row r="2" spans="1:5">
      <c r="A2" s="20" t="s">
        <v>70</v>
      </c>
      <c r="B2" s="19" t="s">
        <v>89</v>
      </c>
    </row>
    <row r="3" spans="1:5">
      <c r="A3" s="20" t="s">
        <v>76</v>
      </c>
      <c r="B3" s="19" t="s">
        <v>79</v>
      </c>
    </row>
    <row r="6" spans="1:5">
      <c r="E6" s="24"/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6"/>
  <sheetViews>
    <sheetView showGridLines="0" zoomScale="115" zoomScaleNormal="115" workbookViewId="0">
      <selection activeCell="D18" sqref="D18"/>
    </sheetView>
  </sheetViews>
  <sheetFormatPr defaultRowHeight="10.5"/>
  <cols>
    <col min="1" max="1" width="15.75" style="33" customWidth="1"/>
    <col min="2" max="2" width="10.875" style="33" customWidth="1"/>
    <col min="3" max="3" width="9" style="33"/>
    <col min="4" max="4" width="16.375" style="33" customWidth="1"/>
    <col min="5" max="16384" width="9" style="33"/>
  </cols>
  <sheetData>
    <row r="1" spans="1:4">
      <c r="A1" s="31" t="s">
        <v>71</v>
      </c>
      <c r="B1" s="32" t="s">
        <v>77</v>
      </c>
      <c r="C1" s="32" t="s">
        <v>78</v>
      </c>
      <c r="D1" s="32" t="s">
        <v>67</v>
      </c>
    </row>
    <row r="2" spans="1:4">
      <c r="A2" s="34" t="s">
        <v>74</v>
      </c>
      <c r="B2" s="35"/>
      <c r="C2" s="36" t="s">
        <v>73</v>
      </c>
      <c r="D2" s="36"/>
    </row>
    <row r="3" spans="1:4">
      <c r="A3" s="34" t="s">
        <v>72</v>
      </c>
      <c r="B3" s="35"/>
      <c r="C3" s="36" t="s">
        <v>73</v>
      </c>
      <c r="D3" s="36"/>
    </row>
    <row r="4" spans="1:4">
      <c r="A4" s="34" t="s">
        <v>75</v>
      </c>
      <c r="B4" s="35"/>
      <c r="C4" s="36" t="s">
        <v>73</v>
      </c>
      <c r="D4" s="36"/>
    </row>
    <row r="5" spans="1:4">
      <c r="A5" s="34"/>
      <c r="B5" s="35"/>
      <c r="C5" s="36"/>
      <c r="D5" s="36"/>
    </row>
    <row r="6" spans="1:4">
      <c r="A6" s="34"/>
      <c r="B6" s="35"/>
      <c r="C6" s="36"/>
      <c r="D6" s="36"/>
    </row>
    <row r="7" spans="1:4">
      <c r="A7" s="34"/>
      <c r="B7" s="35"/>
      <c r="C7" s="36"/>
      <c r="D7" s="36"/>
    </row>
    <row r="8" spans="1:4">
      <c r="A8" s="34"/>
      <c r="B8" s="35"/>
      <c r="C8" s="36"/>
      <c r="D8" s="36"/>
    </row>
    <row r="9" spans="1:4">
      <c r="A9" s="34"/>
      <c r="B9" s="35"/>
      <c r="C9" s="36"/>
      <c r="D9" s="36"/>
    </row>
    <row r="10" spans="1:4">
      <c r="A10" s="34"/>
      <c r="B10" s="35"/>
      <c r="C10" s="36"/>
      <c r="D10" s="36"/>
    </row>
    <row r="12" spans="1:4">
      <c r="A12" s="31" t="s">
        <v>91</v>
      </c>
      <c r="B12" s="32" t="s">
        <v>77</v>
      </c>
      <c r="C12" s="32" t="s">
        <v>78</v>
      </c>
      <c r="D12" s="32" t="s">
        <v>67</v>
      </c>
    </row>
    <row r="13" spans="1:4">
      <c r="A13" s="34"/>
      <c r="B13" s="35">
        <v>0.2</v>
      </c>
      <c r="C13" s="36"/>
      <c r="D13" s="36"/>
    </row>
    <row r="14" spans="1:4">
      <c r="A14" s="34"/>
      <c r="B14" s="35">
        <v>0.4</v>
      </c>
      <c r="C14" s="36"/>
      <c r="D14" s="36"/>
    </row>
    <row r="15" spans="1:4">
      <c r="A15" s="34"/>
      <c r="B15" s="35">
        <v>0.6</v>
      </c>
      <c r="C15" s="36"/>
      <c r="D15" s="36"/>
    </row>
    <row r="16" spans="1:4">
      <c r="A16" s="34"/>
      <c r="B16" s="35">
        <v>0.6</v>
      </c>
      <c r="C16" s="36"/>
      <c r="D16" s="36"/>
    </row>
    <row r="17" spans="1:4">
      <c r="A17" s="34"/>
      <c r="B17" s="35">
        <v>0.7</v>
      </c>
      <c r="C17" s="36"/>
      <c r="D17" s="36"/>
    </row>
    <row r="18" spans="1:4">
      <c r="A18" s="34"/>
      <c r="B18" s="35"/>
      <c r="C18" s="36"/>
      <c r="D18" s="36"/>
    </row>
    <row r="20" spans="1:4">
      <c r="A20" s="31" t="s">
        <v>92</v>
      </c>
      <c r="B20" s="32" t="s">
        <v>77</v>
      </c>
      <c r="C20" s="32" t="s">
        <v>78</v>
      </c>
      <c r="D20" s="32" t="s">
        <v>67</v>
      </c>
    </row>
    <row r="21" spans="1:4">
      <c r="A21" s="34"/>
      <c r="B21" s="35">
        <v>0.2</v>
      </c>
      <c r="C21" s="36"/>
      <c r="D21" s="36"/>
    </row>
    <row r="22" spans="1:4">
      <c r="A22" s="34"/>
      <c r="B22" s="35">
        <v>0.6</v>
      </c>
      <c r="C22" s="36"/>
      <c r="D22" s="36"/>
    </row>
    <row r="23" spans="1:4">
      <c r="A23" s="34"/>
      <c r="B23" s="35">
        <v>0.9</v>
      </c>
      <c r="C23" s="36"/>
      <c r="D23" s="36"/>
    </row>
    <row r="24" spans="1:4">
      <c r="A24" s="34"/>
      <c r="B24" s="35">
        <v>0.9</v>
      </c>
      <c r="C24" s="36"/>
      <c r="D24" s="36"/>
    </row>
    <row r="25" spans="1:4">
      <c r="A25" s="34"/>
      <c r="B25" s="35">
        <v>1</v>
      </c>
      <c r="C25" s="36"/>
      <c r="D25" s="36"/>
    </row>
    <row r="26" spans="1:4">
      <c r="A26" s="34"/>
      <c r="B26" s="35"/>
      <c r="C26" s="36"/>
      <c r="D26" s="36"/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25"/>
  <sheetViews>
    <sheetView zoomScale="85" zoomScaleNormal="85" workbookViewId="0">
      <pane xSplit="20" ySplit="4" topLeftCell="U5" activePane="bottomRight" state="frozen"/>
      <selection pane="topRight" activeCell="R1" sqref="R1"/>
      <selection pane="bottomLeft" activeCell="A5" sqref="A5"/>
      <selection pane="bottomRight" activeCell="AK14" sqref="AK14"/>
    </sheetView>
  </sheetViews>
  <sheetFormatPr defaultColWidth="9" defaultRowHeight="11.25" outlineLevelCol="1"/>
  <cols>
    <col min="1" max="2" width="2.25" style="7" customWidth="1"/>
    <col min="3" max="3" width="5.875" style="7" hidden="1" customWidth="1" outlineLevel="1"/>
    <col min="4" max="6" width="4.375" style="7" hidden="1" customWidth="1" outlineLevel="1"/>
    <col min="7" max="7" width="2.125" style="13" customWidth="1" collapsed="1"/>
    <col min="8" max="9" width="3.625" style="7" customWidth="1" outlineLevel="1"/>
    <col min="10" max="10" width="7.25" style="7" customWidth="1" outlineLevel="1"/>
    <col min="11" max="11" width="4.5" style="7" customWidth="1" outlineLevel="1"/>
    <col min="12" max="12" width="4.125" style="7" customWidth="1" outlineLevel="1"/>
    <col min="13" max="14" width="4.5" style="7" customWidth="1" outlineLevel="1"/>
    <col min="15" max="15" width="2.125" style="13" customWidth="1"/>
    <col min="16" max="19" width="3.625" style="7" customWidth="1" outlineLevel="1"/>
    <col min="20" max="20" width="2.125" style="13" customWidth="1"/>
    <col min="21" max="23" width="3.625" style="7" customWidth="1" outlineLevel="1"/>
    <col min="24" max="24" width="2.125" style="13" customWidth="1"/>
    <col min="25" max="29" width="3.125" style="7" customWidth="1" outlineLevel="1"/>
    <col min="30" max="30" width="2.125" style="13" customWidth="1"/>
    <col min="31" max="38" width="3.125" style="7" customWidth="1" outlineLevel="1"/>
    <col min="39" max="39" width="2.125" style="13" customWidth="1"/>
    <col min="40" max="42" width="3.625" style="7" customWidth="1" outlineLevel="1"/>
    <col min="43" max="43" width="2.125" style="13" customWidth="1"/>
    <col min="44" max="47" width="3.625" style="7" customWidth="1" outlineLevel="1"/>
    <col min="48" max="48" width="2.125" style="13" customWidth="1"/>
    <col min="49" max="53" width="3.625" style="7" customWidth="1" outlineLevel="1"/>
    <col min="54" max="54" width="2.125" style="13" customWidth="1"/>
    <col min="55" max="59" width="9" style="7" customWidth="1" outlineLevel="1"/>
    <col min="60" max="60" width="2.125" style="13" customWidth="1"/>
    <col min="61" max="61" width="2.125" style="7" customWidth="1"/>
    <col min="62" max="16384" width="9" style="7"/>
  </cols>
  <sheetData>
    <row r="1" spans="1:61">
      <c r="A1" s="2"/>
      <c r="B1" s="2"/>
      <c r="C1" s="3" t="s">
        <v>34</v>
      </c>
      <c r="D1" s="4"/>
      <c r="E1" s="4"/>
      <c r="F1" s="5"/>
      <c r="G1" s="6" t="s">
        <v>35</v>
      </c>
      <c r="H1" s="3" t="s">
        <v>49</v>
      </c>
      <c r="I1" s="4"/>
      <c r="J1" s="4"/>
      <c r="K1" s="4"/>
      <c r="L1" s="4"/>
      <c r="M1" s="4"/>
      <c r="N1" s="5"/>
      <c r="O1" s="6" t="s">
        <v>41</v>
      </c>
      <c r="P1" s="3" t="s">
        <v>4</v>
      </c>
      <c r="Q1" s="4"/>
      <c r="R1" s="4"/>
      <c r="S1" s="5"/>
      <c r="T1" s="6" t="s">
        <v>39</v>
      </c>
      <c r="U1" s="3" t="s">
        <v>1</v>
      </c>
      <c r="V1" s="4"/>
      <c r="W1" s="5"/>
      <c r="X1" s="6" t="s">
        <v>40</v>
      </c>
      <c r="Y1" s="3" t="s">
        <v>12</v>
      </c>
      <c r="Z1" s="4"/>
      <c r="AA1" s="4"/>
      <c r="AB1" s="4"/>
      <c r="AC1" s="5"/>
      <c r="AD1" s="6" t="s">
        <v>19</v>
      </c>
      <c r="AE1" s="3" t="s">
        <v>96</v>
      </c>
      <c r="AF1" s="4"/>
      <c r="AG1" s="4"/>
      <c r="AH1" s="4"/>
      <c r="AI1" s="4"/>
      <c r="AJ1" s="4"/>
      <c r="AK1" s="4"/>
      <c r="AL1" s="5"/>
      <c r="AM1" s="6" t="s">
        <v>20</v>
      </c>
      <c r="AN1" s="3" t="s">
        <v>50</v>
      </c>
      <c r="AO1" s="4"/>
      <c r="AP1" s="5"/>
      <c r="AQ1" s="6" t="s">
        <v>21</v>
      </c>
      <c r="AR1" s="3" t="s">
        <v>60</v>
      </c>
      <c r="AS1" s="4"/>
      <c r="AT1" s="4"/>
      <c r="AU1" s="4"/>
      <c r="AV1" s="6" t="s">
        <v>61</v>
      </c>
      <c r="AW1" s="3" t="s">
        <v>13</v>
      </c>
      <c r="AX1" s="4"/>
      <c r="AY1" s="4"/>
      <c r="AZ1" s="4"/>
      <c r="BA1" s="4"/>
      <c r="BB1" s="6" t="s">
        <v>22</v>
      </c>
      <c r="BC1" s="4" t="s">
        <v>48</v>
      </c>
      <c r="BD1" s="4"/>
      <c r="BE1" s="4"/>
      <c r="BF1" s="4"/>
      <c r="BG1" s="4"/>
      <c r="BH1" s="6" t="s">
        <v>42</v>
      </c>
      <c r="BI1" s="17" t="s">
        <v>52</v>
      </c>
    </row>
    <row r="2" spans="1:61" ht="22.5" customHeight="1">
      <c r="A2" s="8" t="s">
        <v>51</v>
      </c>
      <c r="B2" s="8" t="s">
        <v>88</v>
      </c>
      <c r="C2" s="1" t="s">
        <v>33</v>
      </c>
      <c r="D2" s="1" t="s">
        <v>56</v>
      </c>
      <c r="E2" s="1" t="s">
        <v>54</v>
      </c>
      <c r="F2" s="1" t="s">
        <v>55</v>
      </c>
      <c r="G2" s="6"/>
      <c r="H2" s="1" t="s">
        <v>24</v>
      </c>
      <c r="I2" s="26" t="s">
        <v>23</v>
      </c>
      <c r="J2" s="1" t="s">
        <v>53</v>
      </c>
      <c r="K2" s="1" t="s">
        <v>31</v>
      </c>
      <c r="L2" s="1" t="s">
        <v>25</v>
      </c>
      <c r="M2" s="26" t="s">
        <v>32</v>
      </c>
      <c r="N2" s="9" t="s">
        <v>6</v>
      </c>
      <c r="O2" s="6"/>
      <c r="P2" s="9" t="s">
        <v>5</v>
      </c>
      <c r="Q2" s="1" t="s">
        <v>80</v>
      </c>
      <c r="R2" s="1" t="s">
        <v>81</v>
      </c>
      <c r="S2" s="1" t="s">
        <v>83</v>
      </c>
      <c r="T2" s="6"/>
      <c r="U2" s="9" t="s">
        <v>1</v>
      </c>
      <c r="V2" s="9" t="s">
        <v>36</v>
      </c>
      <c r="W2" s="9" t="s">
        <v>10</v>
      </c>
      <c r="X2" s="6"/>
      <c r="Y2" s="1" t="s">
        <v>100</v>
      </c>
      <c r="Z2" s="1" t="s">
        <v>101</v>
      </c>
      <c r="AA2" s="1" t="s">
        <v>102</v>
      </c>
      <c r="AB2" s="1" t="s">
        <v>103</v>
      </c>
      <c r="AC2" s="26" t="s">
        <v>104</v>
      </c>
      <c r="AD2" s="6"/>
      <c r="AE2" s="1" t="s">
        <v>105</v>
      </c>
      <c r="AF2" s="1" t="s">
        <v>106</v>
      </c>
      <c r="AG2" s="1" t="s">
        <v>107</v>
      </c>
      <c r="AH2" s="26" t="s">
        <v>108</v>
      </c>
      <c r="AI2" s="26" t="s">
        <v>109</v>
      </c>
      <c r="AJ2" s="1" t="s">
        <v>58</v>
      </c>
      <c r="AK2" s="1" t="s">
        <v>59</v>
      </c>
      <c r="AL2" s="1" t="s">
        <v>97</v>
      </c>
      <c r="AM2" s="6"/>
      <c r="AN2" s="1" t="s">
        <v>94</v>
      </c>
      <c r="AO2" s="1" t="s">
        <v>95</v>
      </c>
      <c r="AP2" s="1" t="s">
        <v>186</v>
      </c>
      <c r="AQ2" s="6"/>
      <c r="AR2" s="9" t="s">
        <v>87</v>
      </c>
      <c r="AS2" s="9" t="s">
        <v>14</v>
      </c>
      <c r="AT2" s="1" t="s">
        <v>86</v>
      </c>
      <c r="AU2" s="1" t="s">
        <v>85</v>
      </c>
      <c r="AV2" s="6"/>
      <c r="AW2" s="1" t="s">
        <v>30</v>
      </c>
      <c r="AX2" s="1" t="s">
        <v>29</v>
      </c>
      <c r="AY2" s="1" t="s">
        <v>26</v>
      </c>
      <c r="AZ2" s="1" t="s">
        <v>28</v>
      </c>
      <c r="BA2" s="1" t="s">
        <v>27</v>
      </c>
      <c r="BB2" s="6"/>
      <c r="BC2" s="29" t="s">
        <v>43</v>
      </c>
      <c r="BD2" s="10" t="s">
        <v>44</v>
      </c>
      <c r="BE2" s="10" t="s">
        <v>45</v>
      </c>
      <c r="BF2" s="10" t="s">
        <v>46</v>
      </c>
      <c r="BG2" s="27" t="s">
        <v>47</v>
      </c>
      <c r="BH2" s="6"/>
      <c r="BI2" s="17" t="s">
        <v>52</v>
      </c>
    </row>
    <row r="3" spans="1:61">
      <c r="A3" s="11"/>
      <c r="B3" s="11"/>
      <c r="C3" s="9"/>
      <c r="D3" s="9"/>
      <c r="E3" s="9"/>
      <c r="F3" s="9"/>
      <c r="G3" s="6"/>
      <c r="H3" s="9"/>
      <c r="I3" s="9"/>
      <c r="J3" s="9"/>
      <c r="K3" s="9" t="s">
        <v>38</v>
      </c>
      <c r="L3" s="9" t="s">
        <v>0</v>
      </c>
      <c r="M3" s="9" t="s">
        <v>37</v>
      </c>
      <c r="N3" s="9" t="s">
        <v>90</v>
      </c>
      <c r="O3" s="6"/>
      <c r="P3" s="9"/>
      <c r="Q3" s="9"/>
      <c r="R3" s="9"/>
      <c r="S3" s="9"/>
      <c r="T3" s="6"/>
      <c r="U3" s="9" t="s">
        <v>2</v>
      </c>
      <c r="V3" s="9" t="s">
        <v>11</v>
      </c>
      <c r="W3" s="9" t="s">
        <v>2</v>
      </c>
      <c r="X3" s="6"/>
      <c r="Y3" s="9" t="s">
        <v>3</v>
      </c>
      <c r="Z3" s="9" t="s">
        <v>7</v>
      </c>
      <c r="AA3" s="9" t="s">
        <v>8</v>
      </c>
      <c r="AB3" s="9" t="s">
        <v>8</v>
      </c>
      <c r="AC3" s="9" t="s">
        <v>17</v>
      </c>
      <c r="AD3" s="6"/>
      <c r="AE3" s="9" t="s">
        <v>7</v>
      </c>
      <c r="AF3" s="9" t="s">
        <v>7</v>
      </c>
      <c r="AG3" s="9" t="s">
        <v>7</v>
      </c>
      <c r="AH3" s="9" t="s">
        <v>3</v>
      </c>
      <c r="AI3" s="9" t="s">
        <v>57</v>
      </c>
      <c r="AJ3" s="9" t="s">
        <v>9</v>
      </c>
      <c r="AK3" s="9" t="s">
        <v>9</v>
      </c>
      <c r="AL3" s="9" t="s">
        <v>7</v>
      </c>
      <c r="AM3" s="6"/>
      <c r="AN3" s="9" t="s">
        <v>9</v>
      </c>
      <c r="AO3" s="9" t="s">
        <v>185</v>
      </c>
      <c r="AP3" s="9" t="s">
        <v>8</v>
      </c>
      <c r="AQ3" s="6"/>
      <c r="AR3" s="9" t="s">
        <v>93</v>
      </c>
      <c r="AS3" s="9" t="s">
        <v>15</v>
      </c>
      <c r="AT3" s="9"/>
      <c r="AU3" s="9" t="s">
        <v>16</v>
      </c>
      <c r="AV3" s="6"/>
      <c r="AW3" s="9" t="s">
        <v>99</v>
      </c>
      <c r="AX3" s="9"/>
      <c r="AY3" s="9" t="s">
        <v>18</v>
      </c>
      <c r="AZ3" s="9"/>
      <c r="BA3" s="9" t="s">
        <v>18</v>
      </c>
      <c r="BB3" s="6"/>
      <c r="BC3" s="30"/>
      <c r="BD3" s="12"/>
      <c r="BE3" s="12"/>
      <c r="BF3" s="12"/>
      <c r="BG3" s="28"/>
      <c r="BH3" s="6"/>
      <c r="BI3" s="17" t="s">
        <v>52</v>
      </c>
    </row>
    <row r="4" spans="1:61">
      <c r="A4" s="15"/>
      <c r="B4" s="15"/>
      <c r="C4" s="15"/>
      <c r="D4" s="15"/>
      <c r="E4" s="15"/>
      <c r="F4" s="15"/>
      <c r="G4" s="16"/>
      <c r="H4" s="15"/>
      <c r="I4" s="15"/>
      <c r="J4" s="15"/>
      <c r="K4" s="15"/>
      <c r="L4" s="15"/>
      <c r="M4" s="15"/>
      <c r="N4" s="15"/>
      <c r="O4" s="16"/>
      <c r="P4" s="15"/>
      <c r="Q4" s="15"/>
      <c r="R4" s="15"/>
      <c r="S4" s="15"/>
      <c r="T4" s="16"/>
      <c r="U4" s="15"/>
      <c r="V4" s="15"/>
      <c r="W4" s="15"/>
      <c r="X4" s="16"/>
      <c r="Y4" s="15"/>
      <c r="Z4" s="15"/>
      <c r="AA4" s="15"/>
      <c r="AB4" s="15"/>
      <c r="AC4" s="15"/>
      <c r="AD4" s="16"/>
      <c r="AE4" s="15"/>
      <c r="AF4" s="15"/>
      <c r="AG4" s="15"/>
      <c r="AH4" s="15"/>
      <c r="AI4" s="15"/>
      <c r="AJ4" s="15"/>
      <c r="AK4" s="15"/>
      <c r="AL4" s="15"/>
      <c r="AM4" s="16"/>
      <c r="AN4" s="15"/>
      <c r="AO4" s="15"/>
      <c r="AP4" s="15"/>
      <c r="AQ4" s="16"/>
      <c r="AR4" s="15"/>
      <c r="AS4" s="15"/>
      <c r="AT4" s="15"/>
      <c r="AU4" s="15"/>
      <c r="AV4" s="16"/>
      <c r="AW4" s="15"/>
      <c r="AX4" s="15"/>
      <c r="AY4" s="15"/>
      <c r="AZ4" s="15"/>
      <c r="BA4" s="15"/>
      <c r="BB4" s="16"/>
      <c r="BC4" s="15"/>
      <c r="BD4" s="15"/>
      <c r="BE4" s="15"/>
      <c r="BF4" s="15"/>
      <c r="BG4" s="15"/>
      <c r="BH4" s="16"/>
      <c r="BI4" s="17" t="s">
        <v>52</v>
      </c>
    </row>
    <row r="5" spans="1:61">
      <c r="A5" s="25"/>
      <c r="B5" s="86"/>
      <c r="C5" s="15"/>
      <c r="D5" s="15"/>
      <c r="E5" s="15"/>
      <c r="F5" s="15"/>
      <c r="G5" s="16"/>
      <c r="H5" s="15" t="s">
        <v>110</v>
      </c>
      <c r="I5" s="15"/>
      <c r="J5" s="15"/>
      <c r="K5" s="15"/>
      <c r="L5" s="15">
        <v>25</v>
      </c>
      <c r="M5" s="15"/>
      <c r="N5" s="15" t="s">
        <v>110</v>
      </c>
      <c r="O5" s="16"/>
      <c r="P5" s="15" t="s">
        <v>181</v>
      </c>
      <c r="Q5" s="15" t="s">
        <v>180</v>
      </c>
      <c r="R5" s="15" t="s">
        <v>181</v>
      </c>
      <c r="S5" s="15" t="s">
        <v>182</v>
      </c>
      <c r="T5" s="16"/>
      <c r="U5" s="15">
        <v>100</v>
      </c>
      <c r="V5" s="15"/>
      <c r="W5" s="15"/>
      <c r="X5" s="16"/>
      <c r="Y5" s="15">
        <v>20</v>
      </c>
      <c r="Z5" s="15">
        <v>15</v>
      </c>
      <c r="AA5" s="15">
        <v>10</v>
      </c>
      <c r="AB5" s="15">
        <v>5</v>
      </c>
      <c r="AC5" s="15"/>
      <c r="AD5" s="16"/>
      <c r="AE5" s="15">
        <v>1</v>
      </c>
      <c r="AF5" s="15">
        <v>2</v>
      </c>
      <c r="AG5" s="15">
        <v>3</v>
      </c>
      <c r="AH5" s="15"/>
      <c r="AI5" s="15"/>
      <c r="AJ5" s="15"/>
      <c r="AK5" s="15">
        <v>5</v>
      </c>
      <c r="AL5" s="15">
        <v>6</v>
      </c>
      <c r="AM5" s="16"/>
      <c r="AN5" s="15">
        <v>7</v>
      </c>
      <c r="AO5" s="15">
        <v>8</v>
      </c>
      <c r="AP5" s="15">
        <v>9</v>
      </c>
      <c r="AQ5" s="16"/>
      <c r="AR5" s="15"/>
      <c r="AS5" s="15"/>
      <c r="AT5" s="15"/>
      <c r="AU5" s="15"/>
      <c r="AV5" s="16"/>
      <c r="AW5" s="15"/>
      <c r="AX5" s="15"/>
      <c r="AY5" s="15"/>
      <c r="AZ5" s="15"/>
      <c r="BA5" s="15"/>
      <c r="BB5" s="16"/>
      <c r="BC5" s="15"/>
      <c r="BD5" s="15"/>
      <c r="BE5" s="15"/>
      <c r="BF5" s="15"/>
      <c r="BG5" s="15"/>
      <c r="BH5" s="16"/>
      <c r="BI5" s="17" t="s">
        <v>52</v>
      </c>
    </row>
    <row r="6" spans="1:61">
      <c r="A6" s="25"/>
      <c r="B6" s="25"/>
      <c r="C6" s="15"/>
      <c r="D6" s="15"/>
      <c r="E6" s="15"/>
      <c r="F6" s="15"/>
      <c r="G6" s="16"/>
      <c r="H6" s="15"/>
      <c r="I6" s="15"/>
      <c r="J6" s="15"/>
      <c r="K6" s="15"/>
      <c r="L6" s="15">
        <v>200</v>
      </c>
      <c r="M6" s="15"/>
      <c r="N6" s="15" t="s">
        <v>183</v>
      </c>
      <c r="O6" s="16"/>
      <c r="P6" s="15" t="s">
        <v>184</v>
      </c>
      <c r="Q6" s="15" t="s">
        <v>184</v>
      </c>
      <c r="R6" s="15" t="s">
        <v>184</v>
      </c>
      <c r="S6" s="15"/>
      <c r="T6" s="16"/>
      <c r="U6" s="15">
        <v>150</v>
      </c>
      <c r="V6" s="15"/>
      <c r="W6" s="15"/>
      <c r="X6" s="16"/>
      <c r="Y6" s="15">
        <v>1</v>
      </c>
      <c r="Z6" s="15">
        <v>2</v>
      </c>
      <c r="AA6" s="15">
        <v>3</v>
      </c>
      <c r="AB6" s="15">
        <v>4</v>
      </c>
      <c r="AC6" s="15"/>
      <c r="AD6" s="16"/>
      <c r="AE6" s="15">
        <v>5</v>
      </c>
      <c r="AF6" s="15">
        <v>6</v>
      </c>
      <c r="AG6" s="15">
        <v>7</v>
      </c>
      <c r="AH6" s="15"/>
      <c r="AI6" s="15"/>
      <c r="AJ6" s="15"/>
      <c r="AK6" s="15">
        <v>9</v>
      </c>
      <c r="AL6" s="15">
        <v>10</v>
      </c>
      <c r="AM6" s="16"/>
      <c r="AN6" s="15">
        <v>11</v>
      </c>
      <c r="AO6" s="15">
        <v>12</v>
      </c>
      <c r="AP6" s="15">
        <v>13</v>
      </c>
      <c r="AQ6" s="16"/>
      <c r="AR6" s="15"/>
      <c r="AS6" s="15"/>
      <c r="AT6" s="15"/>
      <c r="AU6" s="15"/>
      <c r="AV6" s="16"/>
      <c r="AW6" s="15"/>
      <c r="AX6" s="15"/>
      <c r="AY6" s="15"/>
      <c r="AZ6" s="15"/>
      <c r="BA6" s="15"/>
      <c r="BB6" s="16"/>
      <c r="BC6" s="15"/>
      <c r="BD6" s="15"/>
      <c r="BE6" s="15"/>
      <c r="BF6" s="15"/>
      <c r="BG6" s="15"/>
      <c r="BH6" s="16"/>
      <c r="BI6" s="17" t="s">
        <v>52</v>
      </c>
    </row>
    <row r="7" spans="1:61">
      <c r="A7" s="87"/>
      <c r="B7" s="87"/>
      <c r="C7" s="15"/>
      <c r="D7" s="15"/>
      <c r="E7" s="15"/>
      <c r="F7" s="15"/>
      <c r="G7" s="16"/>
      <c r="H7" s="15"/>
      <c r="I7" s="15"/>
      <c r="J7" s="15"/>
      <c r="K7" s="15"/>
      <c r="L7" s="15"/>
      <c r="M7" s="15"/>
      <c r="N7" s="15"/>
      <c r="O7" s="16"/>
      <c r="P7" s="15"/>
      <c r="Q7" s="15"/>
      <c r="R7" s="15"/>
      <c r="S7" s="15"/>
      <c r="T7" s="16"/>
      <c r="U7" s="15"/>
      <c r="V7" s="15"/>
      <c r="W7" s="15"/>
      <c r="X7" s="16"/>
      <c r="Y7" s="15"/>
      <c r="Z7" s="15"/>
      <c r="AA7" s="15"/>
      <c r="AB7" s="15"/>
      <c r="AC7" s="15"/>
      <c r="AD7" s="16"/>
      <c r="AE7" s="15"/>
      <c r="AF7" s="15"/>
      <c r="AG7" s="15"/>
      <c r="AH7" s="15"/>
      <c r="AI7" s="15"/>
      <c r="AJ7" s="15"/>
      <c r="AK7" s="15"/>
      <c r="AL7" s="15"/>
      <c r="AM7" s="16"/>
      <c r="AN7" s="15"/>
      <c r="AO7" s="15"/>
      <c r="AP7" s="15"/>
      <c r="AQ7" s="16"/>
      <c r="AR7" s="15"/>
      <c r="AS7" s="15"/>
      <c r="AT7" s="15"/>
      <c r="AU7" s="15"/>
      <c r="AV7" s="16"/>
      <c r="AW7" s="15"/>
      <c r="AX7" s="15"/>
      <c r="AY7" s="15"/>
      <c r="AZ7" s="15"/>
      <c r="BA7" s="15"/>
      <c r="BB7" s="16"/>
      <c r="BC7" s="15"/>
      <c r="BD7" s="15"/>
      <c r="BE7" s="15"/>
      <c r="BF7" s="15"/>
      <c r="BG7" s="15"/>
      <c r="BH7" s="16"/>
      <c r="BI7" s="17" t="s">
        <v>98</v>
      </c>
    </row>
    <row r="8" spans="1:61">
      <c r="A8" s="87"/>
      <c r="B8" s="87"/>
      <c r="C8" s="15"/>
      <c r="D8" s="15"/>
      <c r="E8" s="15"/>
      <c r="F8" s="15"/>
      <c r="G8" s="16"/>
      <c r="H8" s="15"/>
      <c r="I8" s="15"/>
      <c r="J8" s="15"/>
      <c r="K8" s="15"/>
      <c r="L8" s="15"/>
      <c r="M8" s="15"/>
      <c r="N8" s="15"/>
      <c r="O8" s="16"/>
      <c r="P8" s="15"/>
      <c r="Q8" s="15"/>
      <c r="R8" s="15"/>
      <c r="S8" s="15"/>
      <c r="T8" s="16"/>
      <c r="U8" s="15"/>
      <c r="V8" s="15"/>
      <c r="W8" s="15"/>
      <c r="X8" s="16"/>
      <c r="Y8" s="15"/>
      <c r="Z8" s="15"/>
      <c r="AA8" s="15"/>
      <c r="AB8" s="15"/>
      <c r="AC8" s="15"/>
      <c r="AD8" s="16"/>
      <c r="AE8" s="15"/>
      <c r="AF8" s="15"/>
      <c r="AG8" s="15"/>
      <c r="AH8" s="15"/>
      <c r="AI8" s="15"/>
      <c r="AJ8" s="15"/>
      <c r="AK8" s="15"/>
      <c r="AL8" s="15"/>
      <c r="AM8" s="16"/>
      <c r="AN8" s="15"/>
      <c r="AO8" s="15"/>
      <c r="AP8" s="15"/>
      <c r="AQ8" s="16"/>
      <c r="AR8" s="15"/>
      <c r="AS8" s="15"/>
      <c r="AT8" s="15"/>
      <c r="AU8" s="15"/>
      <c r="AV8" s="16"/>
      <c r="AW8" s="15"/>
      <c r="AX8" s="15"/>
      <c r="AY8" s="15"/>
      <c r="AZ8" s="15"/>
      <c r="BA8" s="15"/>
      <c r="BB8" s="16"/>
      <c r="BC8" s="15"/>
      <c r="BD8" s="15"/>
      <c r="BE8" s="15"/>
      <c r="BF8" s="15"/>
      <c r="BG8" s="15"/>
      <c r="BH8" s="16"/>
      <c r="BI8" s="17" t="s">
        <v>98</v>
      </c>
    </row>
    <row r="9" spans="1:61">
      <c r="A9" s="87"/>
      <c r="B9" s="87"/>
      <c r="C9" s="15"/>
      <c r="D9" s="15"/>
      <c r="E9" s="15"/>
      <c r="F9" s="15"/>
      <c r="G9" s="16"/>
      <c r="H9" s="15"/>
      <c r="I9" s="15"/>
      <c r="J9" s="15"/>
      <c r="K9" s="15"/>
      <c r="L9" s="15"/>
      <c r="M9" s="15"/>
      <c r="N9" s="15"/>
      <c r="O9" s="16"/>
      <c r="P9" s="15"/>
      <c r="Q9" s="15"/>
      <c r="R9" s="15"/>
      <c r="S9" s="15"/>
      <c r="T9" s="16"/>
      <c r="U9" s="15"/>
      <c r="V9" s="15"/>
      <c r="W9" s="15"/>
      <c r="X9" s="16"/>
      <c r="Y9" s="15"/>
      <c r="Z9" s="15"/>
      <c r="AA9" s="15"/>
      <c r="AB9" s="15"/>
      <c r="AC9" s="15"/>
      <c r="AD9" s="16"/>
      <c r="AE9" s="15"/>
      <c r="AF9" s="15"/>
      <c r="AG9" s="15"/>
      <c r="AH9" s="15"/>
      <c r="AI9" s="15"/>
      <c r="AJ9" s="15"/>
      <c r="AK9" s="15"/>
      <c r="AL9" s="15"/>
      <c r="AM9" s="16"/>
      <c r="AN9" s="15"/>
      <c r="AO9" s="15"/>
      <c r="AP9" s="15"/>
      <c r="AQ9" s="16"/>
      <c r="AR9" s="15"/>
      <c r="AS9" s="15"/>
      <c r="AT9" s="15"/>
      <c r="AU9" s="15"/>
      <c r="AV9" s="16"/>
      <c r="AW9" s="15"/>
      <c r="AX9" s="15"/>
      <c r="AY9" s="15"/>
      <c r="AZ9" s="15"/>
      <c r="BA9" s="15"/>
      <c r="BB9" s="16"/>
      <c r="BC9" s="15"/>
      <c r="BD9" s="15"/>
      <c r="BE9" s="15"/>
      <c r="BF9" s="15"/>
      <c r="BG9" s="15"/>
      <c r="BH9" s="16"/>
      <c r="BI9" s="17" t="s">
        <v>98</v>
      </c>
    </row>
    <row r="10" spans="1:61">
      <c r="A10" s="87"/>
      <c r="B10" s="87"/>
      <c r="C10" s="15"/>
      <c r="D10" s="15"/>
      <c r="E10" s="15"/>
      <c r="F10" s="15"/>
      <c r="G10" s="16"/>
      <c r="H10" s="15"/>
      <c r="I10" s="15"/>
      <c r="J10" s="15"/>
      <c r="K10" s="15"/>
      <c r="L10" s="15"/>
      <c r="M10" s="15"/>
      <c r="N10" s="15"/>
      <c r="O10" s="16"/>
      <c r="P10" s="15"/>
      <c r="Q10" s="15"/>
      <c r="R10" s="15"/>
      <c r="S10" s="15"/>
      <c r="T10" s="16"/>
      <c r="U10" s="15"/>
      <c r="V10" s="15"/>
      <c r="W10" s="15"/>
      <c r="X10" s="16"/>
      <c r="Y10" s="15"/>
      <c r="Z10" s="15"/>
      <c r="AA10" s="15"/>
      <c r="AB10" s="15"/>
      <c r="AC10" s="15"/>
      <c r="AD10" s="16"/>
      <c r="AE10" s="15"/>
      <c r="AF10" s="15"/>
      <c r="AG10" s="15"/>
      <c r="AH10" s="15"/>
      <c r="AI10" s="15"/>
      <c r="AJ10" s="15"/>
      <c r="AK10" s="15"/>
      <c r="AL10" s="15"/>
      <c r="AM10" s="16"/>
      <c r="AN10" s="15"/>
      <c r="AO10" s="15"/>
      <c r="AP10" s="15"/>
      <c r="AQ10" s="16"/>
      <c r="AR10" s="15"/>
      <c r="AS10" s="15"/>
      <c r="AT10" s="15"/>
      <c r="AU10" s="15"/>
      <c r="AV10" s="16"/>
      <c r="AW10" s="15"/>
      <c r="AX10" s="15"/>
      <c r="AY10" s="15"/>
      <c r="AZ10" s="15"/>
      <c r="BA10" s="15"/>
      <c r="BB10" s="16"/>
      <c r="BC10" s="15"/>
      <c r="BD10" s="15"/>
      <c r="BE10" s="15"/>
      <c r="BF10" s="15"/>
      <c r="BG10" s="15"/>
      <c r="BH10" s="16"/>
      <c r="BI10" s="17" t="s">
        <v>98</v>
      </c>
    </row>
    <row r="11" spans="1:61">
      <c r="A11" s="87"/>
      <c r="B11" s="87"/>
      <c r="C11" s="15"/>
      <c r="D11" s="15"/>
      <c r="E11" s="15"/>
      <c r="F11" s="15"/>
      <c r="G11" s="16"/>
      <c r="H11" s="15"/>
      <c r="I11" s="15"/>
      <c r="J11" s="15"/>
      <c r="K11" s="15"/>
      <c r="L11" s="15"/>
      <c r="M11" s="15"/>
      <c r="N11" s="15"/>
      <c r="O11" s="16"/>
      <c r="P11" s="15"/>
      <c r="Q11" s="15"/>
      <c r="R11" s="15"/>
      <c r="S11" s="15"/>
      <c r="T11" s="16"/>
      <c r="U11" s="15"/>
      <c r="V11" s="15"/>
      <c r="W11" s="15"/>
      <c r="X11" s="16"/>
      <c r="Y11" s="15"/>
      <c r="Z11" s="15"/>
      <c r="AA11" s="15"/>
      <c r="AB11" s="15"/>
      <c r="AC11" s="15"/>
      <c r="AD11" s="16"/>
      <c r="AE11" s="15"/>
      <c r="AF11" s="15"/>
      <c r="AG11" s="15"/>
      <c r="AH11" s="15"/>
      <c r="AI11" s="15"/>
      <c r="AJ11" s="15"/>
      <c r="AK11" s="15"/>
      <c r="AL11" s="15"/>
      <c r="AM11" s="16"/>
      <c r="AN11" s="15"/>
      <c r="AO11" s="15"/>
      <c r="AP11" s="15"/>
      <c r="AQ11" s="16"/>
      <c r="AR11" s="15"/>
      <c r="AS11" s="15"/>
      <c r="AT11" s="15"/>
      <c r="AU11" s="15"/>
      <c r="AV11" s="16"/>
      <c r="AW11" s="15"/>
      <c r="AX11" s="15"/>
      <c r="AY11" s="15"/>
      <c r="AZ11" s="15"/>
      <c r="BA11" s="15"/>
      <c r="BB11" s="16"/>
      <c r="BC11" s="15"/>
      <c r="BD11" s="15"/>
      <c r="BE11" s="15"/>
      <c r="BF11" s="15"/>
      <c r="BG11" s="15"/>
      <c r="BH11" s="16"/>
      <c r="BI11" s="17" t="s">
        <v>98</v>
      </c>
    </row>
    <row r="12" spans="1:61">
      <c r="A12" s="87"/>
      <c r="B12" s="87"/>
      <c r="C12" s="15"/>
      <c r="D12" s="15"/>
      <c r="E12" s="15"/>
      <c r="F12" s="15"/>
      <c r="G12" s="16"/>
      <c r="H12" s="15"/>
      <c r="I12" s="15"/>
      <c r="J12" s="15"/>
      <c r="K12" s="15"/>
      <c r="L12" s="15"/>
      <c r="M12" s="15"/>
      <c r="N12" s="15"/>
      <c r="O12" s="16"/>
      <c r="P12" s="15"/>
      <c r="Q12" s="15"/>
      <c r="R12" s="15"/>
      <c r="S12" s="15"/>
      <c r="T12" s="16"/>
      <c r="U12" s="15"/>
      <c r="V12" s="15"/>
      <c r="W12" s="15"/>
      <c r="X12" s="16"/>
      <c r="Y12" s="15"/>
      <c r="Z12" s="15"/>
      <c r="AA12" s="15"/>
      <c r="AB12" s="15"/>
      <c r="AC12" s="15"/>
      <c r="AD12" s="16"/>
      <c r="AE12" s="15"/>
      <c r="AF12" s="15"/>
      <c r="AG12" s="15"/>
      <c r="AH12" s="15"/>
      <c r="AI12" s="15"/>
      <c r="AJ12" s="15"/>
      <c r="AK12" s="15"/>
      <c r="AL12" s="15"/>
      <c r="AM12" s="16"/>
      <c r="AN12" s="15"/>
      <c r="AO12" s="15"/>
      <c r="AP12" s="15"/>
      <c r="AQ12" s="16"/>
      <c r="AR12" s="15"/>
      <c r="AS12" s="15"/>
      <c r="AT12" s="15"/>
      <c r="AU12" s="15"/>
      <c r="AV12" s="16"/>
      <c r="AW12" s="15"/>
      <c r="AX12" s="15"/>
      <c r="AY12" s="15"/>
      <c r="AZ12" s="15"/>
      <c r="BA12" s="15"/>
      <c r="BB12" s="16"/>
      <c r="BC12" s="15"/>
      <c r="BD12" s="15"/>
      <c r="BE12" s="15"/>
      <c r="BF12" s="15"/>
      <c r="BG12" s="15"/>
      <c r="BH12" s="16"/>
      <c r="BI12" s="17" t="s">
        <v>98</v>
      </c>
    </row>
    <row r="13" spans="1:61">
      <c r="A13" s="87"/>
      <c r="B13" s="87"/>
      <c r="C13" s="15"/>
      <c r="D13" s="15"/>
      <c r="E13" s="15"/>
      <c r="F13" s="15"/>
      <c r="G13" s="16"/>
      <c r="H13" s="15"/>
      <c r="I13" s="15"/>
      <c r="J13" s="15"/>
      <c r="K13" s="15"/>
      <c r="L13" s="15"/>
      <c r="M13" s="15"/>
      <c r="N13" s="15"/>
      <c r="O13" s="16"/>
      <c r="P13" s="15"/>
      <c r="Q13" s="15"/>
      <c r="R13" s="15"/>
      <c r="S13" s="15"/>
      <c r="T13" s="16"/>
      <c r="U13" s="15"/>
      <c r="V13" s="15"/>
      <c r="W13" s="15"/>
      <c r="X13" s="16"/>
      <c r="Y13" s="15"/>
      <c r="Z13" s="15"/>
      <c r="AA13" s="15"/>
      <c r="AB13" s="15"/>
      <c r="AC13" s="15"/>
      <c r="AD13" s="16"/>
      <c r="AE13" s="15"/>
      <c r="AF13" s="15"/>
      <c r="AG13" s="15"/>
      <c r="AH13" s="15"/>
      <c r="AI13" s="15"/>
      <c r="AJ13" s="15"/>
      <c r="AK13" s="15"/>
      <c r="AL13" s="15"/>
      <c r="AM13" s="16"/>
      <c r="AN13" s="15"/>
      <c r="AO13" s="15"/>
      <c r="AP13" s="15"/>
      <c r="AQ13" s="16"/>
      <c r="AR13" s="15"/>
      <c r="AS13" s="15"/>
      <c r="AT13" s="15"/>
      <c r="AU13" s="15"/>
      <c r="AV13" s="16"/>
      <c r="AW13" s="15"/>
      <c r="AX13" s="15"/>
      <c r="AY13" s="15"/>
      <c r="AZ13" s="15"/>
      <c r="BA13" s="15"/>
      <c r="BB13" s="16"/>
      <c r="BC13" s="15"/>
      <c r="BD13" s="15"/>
      <c r="BE13" s="15"/>
      <c r="BF13" s="15"/>
      <c r="BG13" s="15"/>
      <c r="BH13" s="16"/>
      <c r="BI13" s="17" t="s">
        <v>98</v>
      </c>
    </row>
    <row r="14" spans="1:61">
      <c r="A14" s="87"/>
      <c r="B14" s="87"/>
      <c r="C14" s="15"/>
      <c r="D14" s="15"/>
      <c r="E14" s="15"/>
      <c r="F14" s="15"/>
      <c r="G14" s="16"/>
      <c r="H14" s="15"/>
      <c r="I14" s="15"/>
      <c r="J14" s="15"/>
      <c r="K14" s="15"/>
      <c r="L14" s="15"/>
      <c r="M14" s="15"/>
      <c r="N14" s="15"/>
      <c r="O14" s="16"/>
      <c r="P14" s="15"/>
      <c r="Q14" s="15"/>
      <c r="R14" s="15"/>
      <c r="S14" s="15"/>
      <c r="T14" s="16"/>
      <c r="U14" s="15"/>
      <c r="V14" s="15"/>
      <c r="W14" s="15"/>
      <c r="X14" s="16"/>
      <c r="Y14" s="15"/>
      <c r="Z14" s="15"/>
      <c r="AA14" s="15"/>
      <c r="AB14" s="15"/>
      <c r="AC14" s="15"/>
      <c r="AD14" s="16"/>
      <c r="AE14" s="15"/>
      <c r="AF14" s="15"/>
      <c r="AG14" s="15"/>
      <c r="AH14" s="15"/>
      <c r="AI14" s="15"/>
      <c r="AJ14" s="15"/>
      <c r="AK14" s="15"/>
      <c r="AL14" s="15"/>
      <c r="AM14" s="16"/>
      <c r="AN14" s="15"/>
      <c r="AO14" s="15"/>
      <c r="AP14" s="15"/>
      <c r="AQ14" s="16"/>
      <c r="AR14" s="15"/>
      <c r="AS14" s="15"/>
      <c r="AT14" s="15"/>
      <c r="AU14" s="15"/>
      <c r="AV14" s="16"/>
      <c r="AW14" s="15"/>
      <c r="AX14" s="15"/>
      <c r="AY14" s="15"/>
      <c r="AZ14" s="15"/>
      <c r="BA14" s="15"/>
      <c r="BB14" s="16"/>
      <c r="BC14" s="15"/>
      <c r="BD14" s="15"/>
      <c r="BE14" s="15"/>
      <c r="BF14" s="15"/>
      <c r="BG14" s="15"/>
      <c r="BH14" s="16"/>
      <c r="BI14" s="17" t="s">
        <v>98</v>
      </c>
    </row>
    <row r="15" spans="1:61">
      <c r="A15" s="87"/>
      <c r="B15" s="87"/>
      <c r="C15" s="15"/>
      <c r="D15" s="15"/>
      <c r="E15" s="15"/>
      <c r="F15" s="15"/>
      <c r="G15" s="16"/>
      <c r="H15" s="15"/>
      <c r="I15" s="15"/>
      <c r="J15" s="15"/>
      <c r="K15" s="15"/>
      <c r="L15" s="15"/>
      <c r="M15" s="15"/>
      <c r="N15" s="15"/>
      <c r="O15" s="16"/>
      <c r="P15" s="15"/>
      <c r="Q15" s="15"/>
      <c r="R15" s="15"/>
      <c r="S15" s="15"/>
      <c r="T15" s="16"/>
      <c r="U15" s="15"/>
      <c r="V15" s="15"/>
      <c r="W15" s="15"/>
      <c r="X15" s="16"/>
      <c r="Y15" s="15"/>
      <c r="Z15" s="15"/>
      <c r="AA15" s="15"/>
      <c r="AB15" s="15"/>
      <c r="AC15" s="15"/>
      <c r="AD15" s="16"/>
      <c r="AE15" s="15"/>
      <c r="AF15" s="15"/>
      <c r="AG15" s="15"/>
      <c r="AH15" s="15"/>
      <c r="AI15" s="15"/>
      <c r="AJ15" s="15"/>
      <c r="AK15" s="15"/>
      <c r="AL15" s="15"/>
      <c r="AM15" s="16"/>
      <c r="AN15" s="15"/>
      <c r="AO15" s="15"/>
      <c r="AP15" s="15"/>
      <c r="AQ15" s="16"/>
      <c r="AR15" s="15"/>
      <c r="AS15" s="15"/>
      <c r="AT15" s="15"/>
      <c r="AU15" s="15"/>
      <c r="AV15" s="16"/>
      <c r="AW15" s="15"/>
      <c r="AX15" s="15"/>
      <c r="AY15" s="15"/>
      <c r="AZ15" s="15"/>
      <c r="BA15" s="15"/>
      <c r="BB15" s="16"/>
      <c r="BC15" s="15"/>
      <c r="BD15" s="15"/>
      <c r="BE15" s="15"/>
      <c r="BF15" s="15"/>
      <c r="BG15" s="15"/>
      <c r="BH15" s="16"/>
      <c r="BI15" s="17" t="s">
        <v>98</v>
      </c>
    </row>
    <row r="16" spans="1:61">
      <c r="A16" s="87"/>
      <c r="B16" s="87"/>
      <c r="C16" s="15"/>
      <c r="D16" s="15"/>
      <c r="E16" s="15"/>
      <c r="F16" s="15"/>
      <c r="G16" s="16"/>
      <c r="H16" s="15"/>
      <c r="I16" s="15"/>
      <c r="J16" s="15"/>
      <c r="K16" s="15"/>
      <c r="L16" s="15"/>
      <c r="M16" s="15"/>
      <c r="N16" s="15"/>
      <c r="O16" s="16"/>
      <c r="P16" s="15"/>
      <c r="Q16" s="15"/>
      <c r="R16" s="15"/>
      <c r="S16" s="15"/>
      <c r="T16" s="16"/>
      <c r="U16" s="15"/>
      <c r="V16" s="15"/>
      <c r="W16" s="15"/>
      <c r="X16" s="16"/>
      <c r="Y16" s="15"/>
      <c r="Z16" s="15"/>
      <c r="AA16" s="15"/>
      <c r="AB16" s="15"/>
      <c r="AC16" s="15"/>
      <c r="AD16" s="16"/>
      <c r="AE16" s="15"/>
      <c r="AF16" s="15"/>
      <c r="AG16" s="15"/>
      <c r="AH16" s="15"/>
      <c r="AI16" s="15"/>
      <c r="AJ16" s="15"/>
      <c r="AK16" s="15"/>
      <c r="AL16" s="15"/>
      <c r="AM16" s="16"/>
      <c r="AN16" s="15"/>
      <c r="AO16" s="15"/>
      <c r="AP16" s="15"/>
      <c r="AQ16" s="16"/>
      <c r="AR16" s="15"/>
      <c r="AS16" s="15"/>
      <c r="AT16" s="15"/>
      <c r="AU16" s="15"/>
      <c r="AV16" s="16"/>
      <c r="AW16" s="15"/>
      <c r="AX16" s="15"/>
      <c r="AY16" s="15"/>
      <c r="AZ16" s="15"/>
      <c r="BA16" s="15"/>
      <c r="BB16" s="16"/>
      <c r="BC16" s="15"/>
      <c r="BD16" s="15"/>
      <c r="BE16" s="15"/>
      <c r="BF16" s="15"/>
      <c r="BG16" s="15"/>
      <c r="BH16" s="16"/>
      <c r="BI16" s="17" t="s">
        <v>98</v>
      </c>
    </row>
    <row r="17" spans="1:61">
      <c r="A17" s="87"/>
      <c r="B17" s="87"/>
      <c r="C17" s="15"/>
      <c r="D17" s="15"/>
      <c r="E17" s="15"/>
      <c r="F17" s="15"/>
      <c r="G17" s="16"/>
      <c r="H17" s="15"/>
      <c r="I17" s="15"/>
      <c r="J17" s="15"/>
      <c r="K17" s="15"/>
      <c r="L17" s="15"/>
      <c r="M17" s="15"/>
      <c r="N17" s="15"/>
      <c r="O17" s="16"/>
      <c r="P17" s="15"/>
      <c r="Q17" s="15"/>
      <c r="R17" s="15"/>
      <c r="S17" s="15"/>
      <c r="T17" s="16"/>
      <c r="U17" s="15"/>
      <c r="V17" s="15"/>
      <c r="W17" s="15"/>
      <c r="X17" s="16"/>
      <c r="Y17" s="15"/>
      <c r="Z17" s="15"/>
      <c r="AA17" s="15"/>
      <c r="AB17" s="15"/>
      <c r="AC17" s="15"/>
      <c r="AD17" s="16"/>
      <c r="AE17" s="15"/>
      <c r="AF17" s="15"/>
      <c r="AG17" s="15"/>
      <c r="AH17" s="15"/>
      <c r="AI17" s="15"/>
      <c r="AJ17" s="15"/>
      <c r="AK17" s="15"/>
      <c r="AL17" s="15"/>
      <c r="AM17" s="16"/>
      <c r="AN17" s="15"/>
      <c r="AO17" s="15"/>
      <c r="AP17" s="15"/>
      <c r="AQ17" s="16"/>
      <c r="AR17" s="15"/>
      <c r="AS17" s="15"/>
      <c r="AT17" s="15"/>
      <c r="AU17" s="15"/>
      <c r="AV17" s="16"/>
      <c r="AW17" s="15"/>
      <c r="AX17" s="15"/>
      <c r="AY17" s="15"/>
      <c r="AZ17" s="15"/>
      <c r="BA17" s="15"/>
      <c r="BB17" s="16"/>
      <c r="BC17" s="15"/>
      <c r="BD17" s="15"/>
      <c r="BE17" s="15"/>
      <c r="BF17" s="15"/>
      <c r="BG17" s="15"/>
      <c r="BH17" s="16"/>
      <c r="BI17" s="17" t="s">
        <v>98</v>
      </c>
    </row>
    <row r="18" spans="1:61">
      <c r="A18" s="87"/>
      <c r="B18" s="87"/>
      <c r="C18" s="15"/>
      <c r="D18" s="15"/>
      <c r="E18" s="15"/>
      <c r="F18" s="15"/>
      <c r="G18" s="16"/>
      <c r="H18" s="15"/>
      <c r="I18" s="15"/>
      <c r="J18" s="15"/>
      <c r="K18" s="15"/>
      <c r="L18" s="15"/>
      <c r="M18" s="15"/>
      <c r="N18" s="15"/>
      <c r="O18" s="16"/>
      <c r="P18" s="15"/>
      <c r="Q18" s="15"/>
      <c r="R18" s="15"/>
      <c r="S18" s="15"/>
      <c r="T18" s="16"/>
      <c r="U18" s="15"/>
      <c r="V18" s="15"/>
      <c r="W18" s="15"/>
      <c r="X18" s="16"/>
      <c r="Y18" s="15"/>
      <c r="Z18" s="15"/>
      <c r="AA18" s="15"/>
      <c r="AB18" s="15"/>
      <c r="AC18" s="15"/>
      <c r="AD18" s="16"/>
      <c r="AE18" s="15"/>
      <c r="AF18" s="15"/>
      <c r="AG18" s="15"/>
      <c r="AH18" s="15"/>
      <c r="AI18" s="15"/>
      <c r="AJ18" s="15"/>
      <c r="AK18" s="15"/>
      <c r="AL18" s="15"/>
      <c r="AM18" s="16"/>
      <c r="AN18" s="15"/>
      <c r="AO18" s="15"/>
      <c r="AP18" s="15"/>
      <c r="AQ18" s="16"/>
      <c r="AR18" s="15"/>
      <c r="AS18" s="15"/>
      <c r="AT18" s="15"/>
      <c r="AU18" s="15"/>
      <c r="AV18" s="16"/>
      <c r="AW18" s="15"/>
      <c r="AX18" s="15"/>
      <c r="AY18" s="15"/>
      <c r="AZ18" s="15"/>
      <c r="BA18" s="15"/>
      <c r="BB18" s="16"/>
      <c r="BC18" s="15"/>
      <c r="BD18" s="15"/>
      <c r="BE18" s="15"/>
      <c r="BF18" s="15"/>
      <c r="BG18" s="15"/>
      <c r="BH18" s="16"/>
      <c r="BI18" s="17" t="s">
        <v>98</v>
      </c>
    </row>
    <row r="19" spans="1:61">
      <c r="A19" s="87"/>
      <c r="B19" s="87"/>
      <c r="C19" s="15"/>
      <c r="D19" s="15"/>
      <c r="E19" s="15"/>
      <c r="F19" s="15"/>
      <c r="G19" s="16"/>
      <c r="H19" s="15"/>
      <c r="I19" s="15"/>
      <c r="J19" s="15"/>
      <c r="K19" s="15"/>
      <c r="L19" s="15"/>
      <c r="M19" s="15"/>
      <c r="N19" s="15"/>
      <c r="O19" s="16"/>
      <c r="P19" s="15"/>
      <c r="Q19" s="15"/>
      <c r="R19" s="15"/>
      <c r="S19" s="15"/>
      <c r="T19" s="16"/>
      <c r="U19" s="15"/>
      <c r="V19" s="15"/>
      <c r="W19" s="15"/>
      <c r="X19" s="16"/>
      <c r="Y19" s="15"/>
      <c r="Z19" s="15"/>
      <c r="AA19" s="15"/>
      <c r="AB19" s="15"/>
      <c r="AC19" s="15"/>
      <c r="AD19" s="16"/>
      <c r="AE19" s="15"/>
      <c r="AF19" s="15"/>
      <c r="AG19" s="15"/>
      <c r="AH19" s="15"/>
      <c r="AI19" s="15"/>
      <c r="AJ19" s="15"/>
      <c r="AK19" s="15"/>
      <c r="AL19" s="15"/>
      <c r="AM19" s="16"/>
      <c r="AN19" s="15"/>
      <c r="AO19" s="15"/>
      <c r="AP19" s="15"/>
      <c r="AQ19" s="16"/>
      <c r="AR19" s="15"/>
      <c r="AS19" s="15"/>
      <c r="AT19" s="15"/>
      <c r="AU19" s="15"/>
      <c r="AV19" s="16"/>
      <c r="AW19" s="15"/>
      <c r="AX19" s="15"/>
      <c r="AY19" s="15"/>
      <c r="AZ19" s="15"/>
      <c r="BA19" s="15"/>
      <c r="BB19" s="16"/>
      <c r="BC19" s="15"/>
      <c r="BD19" s="15"/>
      <c r="BE19" s="15"/>
      <c r="BF19" s="15"/>
      <c r="BG19" s="15"/>
      <c r="BH19" s="16"/>
      <c r="BI19" s="17" t="s">
        <v>98</v>
      </c>
    </row>
    <row r="20" spans="1:61">
      <c r="A20" s="87"/>
      <c r="B20" s="87"/>
      <c r="C20" s="15"/>
      <c r="D20" s="15"/>
      <c r="E20" s="15"/>
      <c r="F20" s="15"/>
      <c r="G20" s="16"/>
      <c r="H20" s="15"/>
      <c r="I20" s="15"/>
      <c r="J20" s="15"/>
      <c r="K20" s="15"/>
      <c r="L20" s="15"/>
      <c r="M20" s="15"/>
      <c r="N20" s="15"/>
      <c r="O20" s="16"/>
      <c r="P20" s="15"/>
      <c r="Q20" s="15"/>
      <c r="R20" s="15"/>
      <c r="S20" s="15"/>
      <c r="T20" s="16"/>
      <c r="U20" s="15"/>
      <c r="V20" s="15"/>
      <c r="W20" s="15"/>
      <c r="X20" s="16"/>
      <c r="Y20" s="15"/>
      <c r="Z20" s="15"/>
      <c r="AA20" s="15"/>
      <c r="AB20" s="15"/>
      <c r="AC20" s="15"/>
      <c r="AD20" s="16"/>
      <c r="AE20" s="15"/>
      <c r="AF20" s="15"/>
      <c r="AG20" s="15"/>
      <c r="AH20" s="15"/>
      <c r="AI20" s="15"/>
      <c r="AJ20" s="15"/>
      <c r="AK20" s="15"/>
      <c r="AL20" s="15"/>
      <c r="AM20" s="16"/>
      <c r="AN20" s="15"/>
      <c r="AO20" s="15"/>
      <c r="AP20" s="15"/>
      <c r="AQ20" s="16"/>
      <c r="AR20" s="15"/>
      <c r="AS20" s="15"/>
      <c r="AT20" s="15"/>
      <c r="AU20" s="15"/>
      <c r="AV20" s="16"/>
      <c r="AW20" s="15"/>
      <c r="AX20" s="15"/>
      <c r="AY20" s="15"/>
      <c r="AZ20" s="15"/>
      <c r="BA20" s="15"/>
      <c r="BB20" s="16"/>
      <c r="BC20" s="15"/>
      <c r="BD20" s="15"/>
      <c r="BE20" s="15"/>
      <c r="BF20" s="15"/>
      <c r="BG20" s="15"/>
      <c r="BH20" s="16"/>
      <c r="BI20" s="17" t="s">
        <v>98</v>
      </c>
    </row>
    <row r="21" spans="1:61">
      <c r="A21" s="87"/>
      <c r="B21" s="87"/>
      <c r="C21" s="15"/>
      <c r="D21" s="15"/>
      <c r="E21" s="15"/>
      <c r="F21" s="15"/>
      <c r="G21" s="16"/>
      <c r="H21" s="15"/>
      <c r="I21" s="15"/>
      <c r="J21" s="15"/>
      <c r="K21" s="15"/>
      <c r="L21" s="15"/>
      <c r="M21" s="15"/>
      <c r="N21" s="15"/>
      <c r="O21" s="16"/>
      <c r="P21" s="15"/>
      <c r="Q21" s="15"/>
      <c r="R21" s="15"/>
      <c r="S21" s="15"/>
      <c r="T21" s="16"/>
      <c r="U21" s="15"/>
      <c r="V21" s="15"/>
      <c r="W21" s="15"/>
      <c r="X21" s="16"/>
      <c r="Y21" s="15"/>
      <c r="Z21" s="15"/>
      <c r="AA21" s="15"/>
      <c r="AB21" s="15"/>
      <c r="AC21" s="15"/>
      <c r="AD21" s="16"/>
      <c r="AE21" s="15"/>
      <c r="AF21" s="15"/>
      <c r="AG21" s="15"/>
      <c r="AH21" s="15"/>
      <c r="AI21" s="15"/>
      <c r="AJ21" s="15"/>
      <c r="AK21" s="15"/>
      <c r="AL21" s="15"/>
      <c r="AM21" s="16"/>
      <c r="AN21" s="15"/>
      <c r="AO21" s="15"/>
      <c r="AP21" s="15"/>
      <c r="AQ21" s="16"/>
      <c r="AR21" s="15"/>
      <c r="AS21" s="15"/>
      <c r="AT21" s="15"/>
      <c r="AU21" s="15"/>
      <c r="AV21" s="16"/>
      <c r="AW21" s="15"/>
      <c r="AX21" s="15"/>
      <c r="AY21" s="15"/>
      <c r="AZ21" s="15"/>
      <c r="BA21" s="15"/>
      <c r="BB21" s="16"/>
      <c r="BC21" s="15"/>
      <c r="BD21" s="15"/>
      <c r="BE21" s="15"/>
      <c r="BF21" s="15"/>
      <c r="BG21" s="15"/>
      <c r="BH21" s="16"/>
      <c r="BI21" s="17" t="s">
        <v>98</v>
      </c>
    </row>
    <row r="22" spans="1:61">
      <c r="A22" s="87"/>
      <c r="B22" s="87"/>
      <c r="C22" s="15"/>
      <c r="D22" s="15"/>
      <c r="E22" s="15"/>
      <c r="F22" s="15"/>
      <c r="G22" s="16"/>
      <c r="H22" s="15"/>
      <c r="I22" s="15"/>
      <c r="J22" s="15"/>
      <c r="K22" s="15"/>
      <c r="L22" s="15"/>
      <c r="M22" s="15"/>
      <c r="N22" s="15"/>
      <c r="O22" s="16"/>
      <c r="P22" s="15"/>
      <c r="Q22" s="15"/>
      <c r="R22" s="15"/>
      <c r="S22" s="15"/>
      <c r="T22" s="16"/>
      <c r="U22" s="15"/>
      <c r="V22" s="15"/>
      <c r="W22" s="15"/>
      <c r="X22" s="16"/>
      <c r="Y22" s="15"/>
      <c r="Z22" s="15"/>
      <c r="AA22" s="15"/>
      <c r="AB22" s="15"/>
      <c r="AC22" s="15"/>
      <c r="AD22" s="16"/>
      <c r="AE22" s="15"/>
      <c r="AF22" s="15"/>
      <c r="AG22" s="15"/>
      <c r="AH22" s="15"/>
      <c r="AI22" s="15"/>
      <c r="AJ22" s="15"/>
      <c r="AK22" s="15"/>
      <c r="AL22" s="15"/>
      <c r="AM22" s="16"/>
      <c r="AN22" s="15"/>
      <c r="AO22" s="15"/>
      <c r="AP22" s="15"/>
      <c r="AQ22" s="16"/>
      <c r="AR22" s="15"/>
      <c r="AS22" s="15"/>
      <c r="AT22" s="15"/>
      <c r="AU22" s="15"/>
      <c r="AV22" s="16"/>
      <c r="AW22" s="15"/>
      <c r="AX22" s="15"/>
      <c r="AY22" s="15"/>
      <c r="AZ22" s="15"/>
      <c r="BA22" s="15"/>
      <c r="BB22" s="16"/>
      <c r="BC22" s="15"/>
      <c r="BD22" s="15"/>
      <c r="BE22" s="15"/>
      <c r="BF22" s="15"/>
      <c r="BG22" s="15"/>
      <c r="BH22" s="16"/>
      <c r="BI22" s="17" t="s">
        <v>98</v>
      </c>
    </row>
    <row r="23" spans="1:61">
      <c r="A23" s="87"/>
      <c r="B23" s="87"/>
      <c r="C23" s="15"/>
      <c r="D23" s="15"/>
      <c r="E23" s="15"/>
      <c r="F23" s="15"/>
      <c r="G23" s="16"/>
      <c r="H23" s="15"/>
      <c r="I23" s="15"/>
      <c r="J23" s="15"/>
      <c r="K23" s="15"/>
      <c r="L23" s="15"/>
      <c r="M23" s="15"/>
      <c r="N23" s="15"/>
      <c r="O23" s="16"/>
      <c r="P23" s="15"/>
      <c r="Q23" s="15"/>
      <c r="R23" s="15"/>
      <c r="S23" s="15"/>
      <c r="T23" s="16"/>
      <c r="U23" s="15"/>
      <c r="V23" s="15"/>
      <c r="W23" s="15"/>
      <c r="X23" s="16"/>
      <c r="Y23" s="15"/>
      <c r="Z23" s="15"/>
      <c r="AA23" s="15"/>
      <c r="AB23" s="15"/>
      <c r="AC23" s="15"/>
      <c r="AD23" s="16"/>
      <c r="AE23" s="15"/>
      <c r="AF23" s="15"/>
      <c r="AG23" s="15"/>
      <c r="AH23" s="15"/>
      <c r="AI23" s="15"/>
      <c r="AJ23" s="15"/>
      <c r="AK23" s="15"/>
      <c r="AL23" s="15"/>
      <c r="AM23" s="16"/>
      <c r="AN23" s="15"/>
      <c r="AO23" s="15"/>
      <c r="AP23" s="15"/>
      <c r="AQ23" s="16"/>
      <c r="AR23" s="15"/>
      <c r="AS23" s="15"/>
      <c r="AT23" s="15"/>
      <c r="AU23" s="15"/>
      <c r="AV23" s="16"/>
      <c r="AW23" s="15"/>
      <c r="AX23" s="15"/>
      <c r="AY23" s="15"/>
      <c r="AZ23" s="15"/>
      <c r="BA23" s="15"/>
      <c r="BB23" s="16"/>
      <c r="BC23" s="15"/>
      <c r="BD23" s="15"/>
      <c r="BE23" s="15"/>
      <c r="BF23" s="15"/>
      <c r="BG23" s="15"/>
      <c r="BH23" s="16"/>
      <c r="BI23" s="17" t="s">
        <v>98</v>
      </c>
    </row>
    <row r="24" spans="1:61">
      <c r="A24" s="87"/>
      <c r="B24" s="87"/>
      <c r="C24" s="15"/>
      <c r="D24" s="15"/>
      <c r="E24" s="15"/>
      <c r="F24" s="15"/>
      <c r="G24" s="16"/>
      <c r="H24" s="15"/>
      <c r="I24" s="15"/>
      <c r="J24" s="15"/>
      <c r="K24" s="15"/>
      <c r="L24" s="15"/>
      <c r="M24" s="15"/>
      <c r="N24" s="15"/>
      <c r="O24" s="16"/>
      <c r="P24" s="15"/>
      <c r="Q24" s="15"/>
      <c r="R24" s="15"/>
      <c r="S24" s="15"/>
      <c r="T24" s="16"/>
      <c r="U24" s="15"/>
      <c r="V24" s="15"/>
      <c r="W24" s="15"/>
      <c r="X24" s="16"/>
      <c r="Y24" s="15"/>
      <c r="Z24" s="15"/>
      <c r="AA24" s="15"/>
      <c r="AB24" s="15"/>
      <c r="AC24" s="15"/>
      <c r="AD24" s="16"/>
      <c r="AE24" s="15"/>
      <c r="AF24" s="15"/>
      <c r="AG24" s="15"/>
      <c r="AH24" s="15"/>
      <c r="AI24" s="15"/>
      <c r="AJ24" s="15"/>
      <c r="AK24" s="15"/>
      <c r="AL24" s="15"/>
      <c r="AM24" s="16"/>
      <c r="AN24" s="15"/>
      <c r="AO24" s="15"/>
      <c r="AP24" s="15"/>
      <c r="AQ24" s="16"/>
      <c r="AR24" s="15"/>
      <c r="AS24" s="15"/>
      <c r="AT24" s="15"/>
      <c r="AU24" s="15"/>
      <c r="AV24" s="16"/>
      <c r="AW24" s="15"/>
      <c r="AX24" s="15"/>
      <c r="AY24" s="15"/>
      <c r="AZ24" s="15"/>
      <c r="BA24" s="15"/>
      <c r="BB24" s="16"/>
      <c r="BC24" s="15"/>
      <c r="BD24" s="15"/>
      <c r="BE24" s="15"/>
      <c r="BF24" s="15"/>
      <c r="BG24" s="15"/>
      <c r="BH24" s="16"/>
      <c r="BI24" s="17" t="s">
        <v>98</v>
      </c>
    </row>
    <row r="25" spans="1:61">
      <c r="A25" s="17" t="s">
        <v>52</v>
      </c>
      <c r="B25" s="17" t="s">
        <v>52</v>
      </c>
      <c r="C25" s="17" t="s">
        <v>52</v>
      </c>
      <c r="D25" s="17" t="s">
        <v>52</v>
      </c>
      <c r="E25" s="17" t="s">
        <v>52</v>
      </c>
      <c r="F25" s="17" t="s">
        <v>52</v>
      </c>
      <c r="G25" s="17" t="s">
        <v>52</v>
      </c>
      <c r="H25" s="17" t="s">
        <v>52</v>
      </c>
      <c r="I25" s="17" t="s">
        <v>52</v>
      </c>
      <c r="J25" s="17" t="s">
        <v>52</v>
      </c>
      <c r="K25" s="17" t="s">
        <v>52</v>
      </c>
      <c r="L25" s="17" t="s">
        <v>52</v>
      </c>
      <c r="M25" s="17" t="s">
        <v>52</v>
      </c>
      <c r="N25" s="17" t="s">
        <v>52</v>
      </c>
      <c r="O25" s="17" t="s">
        <v>52</v>
      </c>
      <c r="P25" s="17" t="s">
        <v>52</v>
      </c>
      <c r="Q25" s="17" t="s">
        <v>52</v>
      </c>
      <c r="R25" s="17" t="s">
        <v>52</v>
      </c>
      <c r="S25" s="17" t="s">
        <v>82</v>
      </c>
      <c r="T25" s="17" t="s">
        <v>52</v>
      </c>
      <c r="U25" s="17" t="s">
        <v>52</v>
      </c>
      <c r="V25" s="17" t="s">
        <v>52</v>
      </c>
      <c r="W25" s="17" t="s">
        <v>52</v>
      </c>
      <c r="X25" s="17" t="s">
        <v>52</v>
      </c>
      <c r="Y25" s="17" t="s">
        <v>52</v>
      </c>
      <c r="Z25" s="17" t="s">
        <v>52</v>
      </c>
      <c r="AA25" s="17" t="s">
        <v>52</v>
      </c>
      <c r="AB25" s="17" t="s">
        <v>52</v>
      </c>
      <c r="AC25" s="17" t="s">
        <v>52</v>
      </c>
      <c r="AD25" s="17" t="s">
        <v>52</v>
      </c>
      <c r="AE25" s="17" t="s">
        <v>52</v>
      </c>
      <c r="AF25" s="17" t="s">
        <v>52</v>
      </c>
      <c r="AG25" s="17" t="s">
        <v>52</v>
      </c>
      <c r="AH25" s="17" t="s">
        <v>52</v>
      </c>
      <c r="AI25" s="17" t="s">
        <v>84</v>
      </c>
      <c r="AJ25" s="17" t="s">
        <v>52</v>
      </c>
      <c r="AK25" s="17" t="s">
        <v>52</v>
      </c>
      <c r="AL25" s="17" t="s">
        <v>52</v>
      </c>
      <c r="AM25" s="17" t="s">
        <v>52</v>
      </c>
      <c r="AN25" s="17" t="s">
        <v>52</v>
      </c>
      <c r="AO25" s="17"/>
      <c r="AP25" s="17" t="s">
        <v>52</v>
      </c>
      <c r="AQ25" s="17" t="s">
        <v>52</v>
      </c>
      <c r="AR25" s="17" t="s">
        <v>52</v>
      </c>
      <c r="AS25" s="17" t="s">
        <v>52</v>
      </c>
      <c r="AT25" s="17" t="s">
        <v>52</v>
      </c>
      <c r="AU25" s="17" t="s">
        <v>52</v>
      </c>
      <c r="AV25" s="17" t="s">
        <v>52</v>
      </c>
      <c r="AW25" s="17" t="s">
        <v>52</v>
      </c>
      <c r="AX25" s="17" t="s">
        <v>52</v>
      </c>
      <c r="AY25" s="17" t="s">
        <v>52</v>
      </c>
      <c r="AZ25" s="17" t="s">
        <v>52</v>
      </c>
      <c r="BA25" s="17" t="s">
        <v>52</v>
      </c>
      <c r="BB25" s="17" t="s">
        <v>52</v>
      </c>
      <c r="BC25" s="17" t="s">
        <v>52</v>
      </c>
      <c r="BD25" s="17" t="s">
        <v>52</v>
      </c>
      <c r="BE25" s="17" t="s">
        <v>52</v>
      </c>
      <c r="BF25" s="17" t="s">
        <v>52</v>
      </c>
      <c r="BG25" s="17" t="s">
        <v>52</v>
      </c>
      <c r="BH25" s="17" t="s">
        <v>52</v>
      </c>
      <c r="BI25" s="17" t="s">
        <v>52</v>
      </c>
    </row>
  </sheetData>
  <autoFilter ref="A4:BH4"/>
  <dataConsolidate/>
  <phoneticPr fontId="1"/>
  <dataValidations count="2">
    <dataValidation allowBlank="1" showInputMessage="1" showErrorMessage="1" prompt="Ｐ：パーライト_x000a_Ｋ：ケイ酸カルシウム_x000a_Ｒ：ロックウール_x000a_Ｇ：グラスウール_x000a_Ｓ：スチロール_x000a_Ｕ：ウレタン" sqref="AV1"/>
    <dataValidation allowBlank="1" showInputMessage="1" showErrorMessage="1" prompt="フランジ数無視_x000d__x000a_エルボ数無視_x000d__x000a_" sqref="B5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9" sqref="D29"/>
    </sheetView>
  </sheetViews>
  <sheetFormatPr defaultRowHeight="11.25"/>
  <cols>
    <col min="1" max="16384" width="9" style="14"/>
  </cols>
  <sheetData/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8"/>
  <sheetViews>
    <sheetView showGridLines="0" tabSelected="1" zoomScale="85" zoomScaleNormal="85" workbookViewId="0">
      <selection activeCell="Q14" sqref="Q14"/>
    </sheetView>
  </sheetViews>
  <sheetFormatPr defaultRowHeight="10.5"/>
  <cols>
    <col min="1" max="1" width="11.125" style="37" customWidth="1"/>
    <col min="2" max="17" width="7.625" style="37" customWidth="1"/>
    <col min="18" max="18" width="10.625" style="37" customWidth="1"/>
    <col min="19" max="16384" width="9" style="37"/>
  </cols>
  <sheetData>
    <row r="1" spans="1:18">
      <c r="A1" s="37" t="s">
        <v>124</v>
      </c>
      <c r="D1" s="38"/>
      <c r="E1" s="38"/>
      <c r="F1" s="38"/>
      <c r="H1" s="38"/>
      <c r="I1" s="38"/>
      <c r="J1" s="38"/>
      <c r="K1" s="38"/>
      <c r="O1" s="39" t="s">
        <v>125</v>
      </c>
      <c r="P1" s="40" t="s">
        <v>126</v>
      </c>
      <c r="Q1" s="41" t="s">
        <v>127</v>
      </c>
    </row>
    <row r="2" spans="1:18">
      <c r="E2" s="42"/>
      <c r="F2" s="38"/>
      <c r="H2" s="38"/>
      <c r="I2" s="38"/>
      <c r="J2" s="38"/>
      <c r="K2" s="38"/>
      <c r="L2" s="38"/>
      <c r="O2" s="43" t="s">
        <v>174</v>
      </c>
      <c r="P2" s="44">
        <v>22000</v>
      </c>
      <c r="Q2" s="45">
        <v>25000</v>
      </c>
    </row>
    <row r="3" spans="1:18">
      <c r="A3" s="46"/>
      <c r="B3" s="46"/>
      <c r="C3" s="47"/>
      <c r="D3" s="48"/>
      <c r="E3" s="48"/>
      <c r="F3" s="47"/>
      <c r="G3" s="46"/>
      <c r="H3" s="47"/>
      <c r="I3" s="47"/>
      <c r="J3" s="47"/>
      <c r="K3" s="47"/>
      <c r="L3" s="46"/>
      <c r="O3" s="49" t="s">
        <v>175</v>
      </c>
      <c r="P3" s="50">
        <v>23000</v>
      </c>
      <c r="Q3" s="51">
        <v>27000</v>
      </c>
    </row>
    <row r="4" spans="1:18">
      <c r="A4" s="52" t="s">
        <v>128</v>
      </c>
      <c r="B4" s="53" t="s">
        <v>129</v>
      </c>
      <c r="C4" s="54"/>
      <c r="D4" s="54"/>
      <c r="E4" s="54"/>
      <c r="F4" s="55"/>
      <c r="G4" s="52" t="s">
        <v>176</v>
      </c>
      <c r="H4" s="56"/>
      <c r="I4" s="57"/>
      <c r="J4" s="53" t="s">
        <v>130</v>
      </c>
      <c r="K4" s="54"/>
      <c r="L4" s="54"/>
      <c r="M4" s="55"/>
      <c r="N4" s="53" t="s">
        <v>131</v>
      </c>
      <c r="O4" s="54"/>
      <c r="P4" s="54"/>
      <c r="Q4" s="55"/>
      <c r="R4" s="58"/>
    </row>
    <row r="5" spans="1:18">
      <c r="A5" s="59" t="s">
        <v>132</v>
      </c>
      <c r="B5" s="52" t="s">
        <v>133</v>
      </c>
      <c r="C5" s="52" t="s">
        <v>134</v>
      </c>
      <c r="D5" s="52" t="s">
        <v>177</v>
      </c>
      <c r="E5" s="52" t="s">
        <v>135</v>
      </c>
      <c r="F5" s="52" t="s">
        <v>178</v>
      </c>
      <c r="G5" s="59" t="s">
        <v>136</v>
      </c>
      <c r="H5" s="52" t="s">
        <v>179</v>
      </c>
      <c r="I5" s="60" t="s">
        <v>178</v>
      </c>
      <c r="J5" s="52" t="s">
        <v>137</v>
      </c>
      <c r="K5" s="60" t="s">
        <v>138</v>
      </c>
      <c r="L5" s="60" t="s">
        <v>139</v>
      </c>
      <c r="M5" s="60" t="s">
        <v>140</v>
      </c>
      <c r="N5" s="52" t="s">
        <v>141</v>
      </c>
      <c r="O5" s="60" t="s">
        <v>142</v>
      </c>
      <c r="P5" s="60" t="s">
        <v>139</v>
      </c>
      <c r="Q5" s="60" t="s">
        <v>143</v>
      </c>
      <c r="R5" s="59" t="s">
        <v>144</v>
      </c>
    </row>
    <row r="6" spans="1:18">
      <c r="A6" s="61"/>
      <c r="B6" s="61" t="s">
        <v>167</v>
      </c>
      <c r="C6" s="61" t="s">
        <v>145</v>
      </c>
      <c r="D6" s="61" t="s">
        <v>168</v>
      </c>
      <c r="E6" s="61" t="s">
        <v>146</v>
      </c>
      <c r="F6" s="61" t="s">
        <v>169</v>
      </c>
      <c r="G6" s="61"/>
      <c r="H6" s="61" t="s">
        <v>147</v>
      </c>
      <c r="I6" s="62" t="s">
        <v>169</v>
      </c>
      <c r="J6" s="61" t="s">
        <v>170</v>
      </c>
      <c r="K6" s="63" t="s">
        <v>171</v>
      </c>
      <c r="L6" s="63" t="s">
        <v>172</v>
      </c>
      <c r="M6" s="63" t="s">
        <v>173</v>
      </c>
      <c r="N6" s="61" t="s">
        <v>148</v>
      </c>
      <c r="O6" s="63" t="s">
        <v>149</v>
      </c>
      <c r="P6" s="63" t="s">
        <v>172</v>
      </c>
      <c r="Q6" s="63" t="s">
        <v>173</v>
      </c>
      <c r="R6" s="59"/>
    </row>
    <row r="7" spans="1:18">
      <c r="A7" s="64" t="s">
        <v>150</v>
      </c>
      <c r="B7" s="88">
        <v>12243</v>
      </c>
      <c r="C7" s="88"/>
      <c r="D7" s="88">
        <v>73744</v>
      </c>
      <c r="E7" s="88">
        <v>371974.90300655365</v>
      </c>
      <c r="F7" s="88">
        <v>44851</v>
      </c>
      <c r="G7" s="43" t="s">
        <v>151</v>
      </c>
      <c r="H7" s="65">
        <v>35</v>
      </c>
      <c r="I7" s="65">
        <v>15697.85</v>
      </c>
      <c r="J7" s="65">
        <v>396</v>
      </c>
      <c r="K7" s="65">
        <v>198</v>
      </c>
      <c r="L7" s="65">
        <v>59</v>
      </c>
      <c r="M7" s="65">
        <v>653</v>
      </c>
      <c r="N7" s="65">
        <f>J7*$P$2/1000</f>
        <v>8712</v>
      </c>
      <c r="O7" s="65">
        <f>K7*$Q$2/1000</f>
        <v>4950</v>
      </c>
      <c r="P7" s="65">
        <f>L7*$P$2/1000</f>
        <v>1298</v>
      </c>
      <c r="Q7" s="65">
        <f t="shared" ref="Q7:Q45" si="0">SUM(N7:P7)</f>
        <v>14960</v>
      </c>
      <c r="R7" s="66">
        <f>M9</f>
        <v>3605</v>
      </c>
    </row>
    <row r="8" spans="1:18">
      <c r="A8" s="67">
        <v>40</v>
      </c>
      <c r="B8" s="89"/>
      <c r="C8" s="89"/>
      <c r="D8" s="89"/>
      <c r="E8" s="89"/>
      <c r="F8" s="89"/>
      <c r="G8" s="68" t="s">
        <v>152</v>
      </c>
      <c r="H8" s="69">
        <v>65</v>
      </c>
      <c r="I8" s="69">
        <v>29153.15</v>
      </c>
      <c r="J8" s="69">
        <v>2214</v>
      </c>
      <c r="K8" s="69">
        <v>738</v>
      </c>
      <c r="L8" s="69"/>
      <c r="M8" s="69">
        <v>2952</v>
      </c>
      <c r="N8" s="69">
        <f>J8*$P$3/1000</f>
        <v>50922</v>
      </c>
      <c r="O8" s="69">
        <f>K8*$Q$3/1000</f>
        <v>19926</v>
      </c>
      <c r="P8" s="69">
        <f>L8*$P$3/1000</f>
        <v>0</v>
      </c>
      <c r="Q8" s="69">
        <f t="shared" si="0"/>
        <v>70848</v>
      </c>
      <c r="R8" s="70"/>
    </row>
    <row r="9" spans="1:18">
      <c r="A9" s="71"/>
      <c r="B9" s="90"/>
      <c r="C9" s="90"/>
      <c r="D9" s="90"/>
      <c r="E9" s="90"/>
      <c r="F9" s="90"/>
      <c r="G9" s="49" t="s">
        <v>153</v>
      </c>
      <c r="H9" s="72">
        <f t="shared" ref="H9:P9" si="1">SUM(H7:H8)</f>
        <v>100</v>
      </c>
      <c r="I9" s="72">
        <f>SUM(I7:I8)</f>
        <v>44851</v>
      </c>
      <c r="J9" s="72">
        <f t="shared" si="1"/>
        <v>2610</v>
      </c>
      <c r="K9" s="72">
        <f t="shared" si="1"/>
        <v>936</v>
      </c>
      <c r="L9" s="72">
        <f t="shared" si="1"/>
        <v>59</v>
      </c>
      <c r="M9" s="72">
        <f t="shared" si="1"/>
        <v>3605</v>
      </c>
      <c r="N9" s="72">
        <f t="shared" si="1"/>
        <v>59634</v>
      </c>
      <c r="O9" s="72">
        <f t="shared" si="1"/>
        <v>24876</v>
      </c>
      <c r="P9" s="72">
        <f t="shared" si="1"/>
        <v>1298</v>
      </c>
      <c r="Q9" s="72">
        <f t="shared" si="0"/>
        <v>85808</v>
      </c>
      <c r="R9" s="72">
        <f>Q9*1000</f>
        <v>85808000</v>
      </c>
    </row>
    <row r="10" spans="1:18">
      <c r="A10" s="64" t="s">
        <v>154</v>
      </c>
      <c r="B10" s="88">
        <v>1626</v>
      </c>
      <c r="C10" s="88"/>
      <c r="D10" s="88">
        <v>1901</v>
      </c>
      <c r="E10" s="88">
        <v>5468.6899217367172</v>
      </c>
      <c r="F10" s="88">
        <v>2295</v>
      </c>
      <c r="G10" s="43" t="s">
        <v>151</v>
      </c>
      <c r="H10" s="65">
        <v>55</v>
      </c>
      <c r="I10" s="65">
        <v>1262.25</v>
      </c>
      <c r="J10" s="65">
        <v>36</v>
      </c>
      <c r="K10" s="65">
        <v>18</v>
      </c>
      <c r="L10" s="65">
        <v>5</v>
      </c>
      <c r="M10" s="65">
        <v>59</v>
      </c>
      <c r="N10" s="65">
        <f>J10*$P$2/1000</f>
        <v>792</v>
      </c>
      <c r="O10" s="65">
        <f>K10*$Q$2/1000</f>
        <v>450</v>
      </c>
      <c r="P10" s="65">
        <f>L10*$P$2/1000</f>
        <v>110</v>
      </c>
      <c r="Q10" s="65">
        <f t="shared" si="0"/>
        <v>1352</v>
      </c>
      <c r="R10" s="66">
        <f>M12</f>
        <v>175</v>
      </c>
    </row>
    <row r="11" spans="1:18">
      <c r="A11" s="67">
        <v>80</v>
      </c>
      <c r="B11" s="89"/>
      <c r="C11" s="89"/>
      <c r="D11" s="89"/>
      <c r="E11" s="89"/>
      <c r="F11" s="89"/>
      <c r="G11" s="68" t="s">
        <v>152</v>
      </c>
      <c r="H11" s="69">
        <v>45</v>
      </c>
      <c r="I11" s="69">
        <v>1032.75</v>
      </c>
      <c r="J11" s="69">
        <v>87</v>
      </c>
      <c r="K11" s="69">
        <v>29</v>
      </c>
      <c r="L11" s="69"/>
      <c r="M11" s="69">
        <v>116</v>
      </c>
      <c r="N11" s="69">
        <f>J11*$P$3/1000</f>
        <v>2001</v>
      </c>
      <c r="O11" s="69">
        <f>K11*$Q$3/1000</f>
        <v>783</v>
      </c>
      <c r="P11" s="69">
        <f>L11*$P$3/1000</f>
        <v>0</v>
      </c>
      <c r="Q11" s="69">
        <f t="shared" si="0"/>
        <v>2784</v>
      </c>
      <c r="R11" s="70"/>
    </row>
    <row r="12" spans="1:18">
      <c r="A12" s="71"/>
      <c r="B12" s="90"/>
      <c r="C12" s="90"/>
      <c r="D12" s="90"/>
      <c r="E12" s="90"/>
      <c r="F12" s="90"/>
      <c r="G12" s="49" t="s">
        <v>153</v>
      </c>
      <c r="H12" s="72">
        <f t="shared" ref="H12:P12" si="2">SUM(H10:H11)</f>
        <v>100</v>
      </c>
      <c r="I12" s="72">
        <f t="shared" si="2"/>
        <v>2295</v>
      </c>
      <c r="J12" s="72">
        <f t="shared" si="2"/>
        <v>123</v>
      </c>
      <c r="K12" s="72">
        <f t="shared" si="2"/>
        <v>47</v>
      </c>
      <c r="L12" s="72">
        <f t="shared" si="2"/>
        <v>5</v>
      </c>
      <c r="M12" s="72">
        <f t="shared" si="2"/>
        <v>175</v>
      </c>
      <c r="N12" s="72">
        <f t="shared" si="2"/>
        <v>2793</v>
      </c>
      <c r="O12" s="72">
        <f t="shared" si="2"/>
        <v>1233</v>
      </c>
      <c r="P12" s="72">
        <f t="shared" si="2"/>
        <v>110</v>
      </c>
      <c r="Q12" s="72">
        <f t="shared" si="0"/>
        <v>4136</v>
      </c>
      <c r="R12" s="72">
        <f>Q12*1000</f>
        <v>4136000</v>
      </c>
    </row>
    <row r="13" spans="1:18">
      <c r="A13" s="64" t="s">
        <v>155</v>
      </c>
      <c r="B13" s="88">
        <v>450</v>
      </c>
      <c r="C13" s="88"/>
      <c r="D13" s="88">
        <v>572.5</v>
      </c>
      <c r="E13" s="88">
        <v>1205.2999830245972</v>
      </c>
      <c r="F13" s="88">
        <v>718</v>
      </c>
      <c r="G13" s="43" t="s">
        <v>151</v>
      </c>
      <c r="H13" s="65">
        <v>20</v>
      </c>
      <c r="I13" s="65">
        <v>143.6</v>
      </c>
      <c r="J13" s="65">
        <v>4</v>
      </c>
      <c r="K13" s="65">
        <v>2</v>
      </c>
      <c r="L13" s="65">
        <v>0</v>
      </c>
      <c r="M13" s="65">
        <v>6</v>
      </c>
      <c r="N13" s="65">
        <f>J13*$P$2/1000</f>
        <v>88</v>
      </c>
      <c r="O13" s="65">
        <f>K13*$Q$2/1000</f>
        <v>50</v>
      </c>
      <c r="P13" s="65">
        <f>L13*$P$2/1000</f>
        <v>0</v>
      </c>
      <c r="Q13" s="65">
        <f t="shared" si="0"/>
        <v>138</v>
      </c>
      <c r="R13" s="66">
        <f>M15</f>
        <v>78</v>
      </c>
    </row>
    <row r="14" spans="1:18">
      <c r="A14" s="67" t="s">
        <v>156</v>
      </c>
      <c r="B14" s="89"/>
      <c r="C14" s="89"/>
      <c r="D14" s="89"/>
      <c r="E14" s="89"/>
      <c r="F14" s="89"/>
      <c r="G14" s="68" t="s">
        <v>152</v>
      </c>
      <c r="H14" s="69">
        <v>80</v>
      </c>
      <c r="I14" s="69">
        <v>574.4</v>
      </c>
      <c r="J14" s="69">
        <v>54</v>
      </c>
      <c r="K14" s="69">
        <v>18</v>
      </c>
      <c r="L14" s="69"/>
      <c r="M14" s="69">
        <v>72</v>
      </c>
      <c r="N14" s="69">
        <f>J14*$P$3/1000</f>
        <v>1242</v>
      </c>
      <c r="O14" s="69">
        <f>K14*$Q$3/1000</f>
        <v>486</v>
      </c>
      <c r="P14" s="69">
        <f>L14*$P$3/1000</f>
        <v>0</v>
      </c>
      <c r="Q14" s="69">
        <f t="shared" si="0"/>
        <v>1728</v>
      </c>
      <c r="R14" s="70"/>
    </row>
    <row r="15" spans="1:18">
      <c r="A15" s="71"/>
      <c r="B15" s="90"/>
      <c r="C15" s="90"/>
      <c r="D15" s="90"/>
      <c r="E15" s="90"/>
      <c r="F15" s="90"/>
      <c r="G15" s="49" t="s">
        <v>153</v>
      </c>
      <c r="H15" s="72">
        <f t="shared" ref="H15:P15" si="3">SUM(H13:H14)</f>
        <v>100</v>
      </c>
      <c r="I15" s="72">
        <f t="shared" si="3"/>
        <v>718</v>
      </c>
      <c r="J15" s="72">
        <f t="shared" si="3"/>
        <v>58</v>
      </c>
      <c r="K15" s="72">
        <f t="shared" si="3"/>
        <v>20</v>
      </c>
      <c r="L15" s="72">
        <f t="shared" si="3"/>
        <v>0</v>
      </c>
      <c r="M15" s="72">
        <f t="shared" si="3"/>
        <v>78</v>
      </c>
      <c r="N15" s="72">
        <f t="shared" si="3"/>
        <v>1330</v>
      </c>
      <c r="O15" s="72">
        <f t="shared" si="3"/>
        <v>536</v>
      </c>
      <c r="P15" s="72">
        <f t="shared" si="3"/>
        <v>0</v>
      </c>
      <c r="Q15" s="72">
        <f t="shared" si="0"/>
        <v>1866</v>
      </c>
      <c r="R15" s="72">
        <f>Q15*1000</f>
        <v>1866000</v>
      </c>
    </row>
    <row r="16" spans="1:18">
      <c r="A16" s="64" t="s">
        <v>155</v>
      </c>
      <c r="B16" s="88">
        <v>570</v>
      </c>
      <c r="C16" s="88"/>
      <c r="D16" s="88">
        <v>1025</v>
      </c>
      <c r="E16" s="88">
        <v>3167.2999966144562</v>
      </c>
      <c r="F16" s="88">
        <v>1472</v>
      </c>
      <c r="G16" s="43" t="s">
        <v>151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f>J16*$P$2/1000</f>
        <v>0</v>
      </c>
      <c r="O16" s="65">
        <f>K16*$Q$2/1000</f>
        <v>0</v>
      </c>
      <c r="P16" s="65">
        <f>L16*$P$2/1000</f>
        <v>0</v>
      </c>
      <c r="Q16" s="65">
        <f t="shared" si="0"/>
        <v>0</v>
      </c>
      <c r="R16" s="66">
        <f>M18</f>
        <v>196</v>
      </c>
    </row>
    <row r="17" spans="1:18">
      <c r="A17" s="67">
        <v>40</v>
      </c>
      <c r="B17" s="89"/>
      <c r="C17" s="89"/>
      <c r="D17" s="89"/>
      <c r="E17" s="89"/>
      <c r="F17" s="89"/>
      <c r="G17" s="68" t="s">
        <v>152</v>
      </c>
      <c r="H17" s="69">
        <v>100</v>
      </c>
      <c r="I17" s="69">
        <v>1472</v>
      </c>
      <c r="J17" s="69">
        <v>147</v>
      </c>
      <c r="K17" s="69">
        <v>49</v>
      </c>
      <c r="L17" s="69"/>
      <c r="M17" s="69">
        <v>196</v>
      </c>
      <c r="N17" s="69">
        <f>J17*$P$3/1000</f>
        <v>3381</v>
      </c>
      <c r="O17" s="69">
        <f>K17*$Q$3/1000</f>
        <v>1323</v>
      </c>
      <c r="P17" s="69">
        <f>L17*$P$3/1000</f>
        <v>0</v>
      </c>
      <c r="Q17" s="69">
        <f t="shared" si="0"/>
        <v>4704</v>
      </c>
      <c r="R17" s="70"/>
    </row>
    <row r="18" spans="1:18">
      <c r="A18" s="71"/>
      <c r="B18" s="90"/>
      <c r="C18" s="90"/>
      <c r="D18" s="90"/>
      <c r="E18" s="90"/>
      <c r="F18" s="90"/>
      <c r="G18" s="49" t="s">
        <v>153</v>
      </c>
      <c r="H18" s="72">
        <f t="shared" ref="H18:P18" si="4">SUM(H16:H17)</f>
        <v>100</v>
      </c>
      <c r="I18" s="72">
        <f t="shared" si="4"/>
        <v>1472</v>
      </c>
      <c r="J18" s="72">
        <f t="shared" si="4"/>
        <v>147</v>
      </c>
      <c r="K18" s="72">
        <f t="shared" si="4"/>
        <v>49</v>
      </c>
      <c r="L18" s="72">
        <f t="shared" si="4"/>
        <v>0</v>
      </c>
      <c r="M18" s="72">
        <f t="shared" si="4"/>
        <v>196</v>
      </c>
      <c r="N18" s="72">
        <f t="shared" si="4"/>
        <v>3381</v>
      </c>
      <c r="O18" s="72">
        <f t="shared" si="4"/>
        <v>1323</v>
      </c>
      <c r="P18" s="72">
        <f t="shared" si="4"/>
        <v>0</v>
      </c>
      <c r="Q18" s="72">
        <f t="shared" si="0"/>
        <v>4704</v>
      </c>
      <c r="R18" s="72">
        <f>Q18*1000</f>
        <v>4704000</v>
      </c>
    </row>
    <row r="19" spans="1:18">
      <c r="A19" s="64" t="s">
        <v>157</v>
      </c>
      <c r="B19" s="88">
        <v>400</v>
      </c>
      <c r="C19" s="88"/>
      <c r="D19" s="88">
        <v>500</v>
      </c>
      <c r="E19" s="88">
        <v>1559.4999849796295</v>
      </c>
      <c r="F19" s="88">
        <v>670</v>
      </c>
      <c r="G19" s="43" t="s">
        <v>151</v>
      </c>
      <c r="H19" s="65">
        <v>0</v>
      </c>
      <c r="I19" s="65">
        <v>0</v>
      </c>
      <c r="J19" s="65">
        <v>0</v>
      </c>
      <c r="K19" s="65">
        <v>0</v>
      </c>
      <c r="L19" s="65">
        <v>0</v>
      </c>
      <c r="M19" s="65">
        <v>0</v>
      </c>
      <c r="N19" s="65">
        <f>J19*$P$2/1000</f>
        <v>0</v>
      </c>
      <c r="O19" s="65">
        <f>K19*$Q$2/1000</f>
        <v>0</v>
      </c>
      <c r="P19" s="65">
        <f>L19*$P$2/1000</f>
        <v>0</v>
      </c>
      <c r="Q19" s="65">
        <f t="shared" si="0"/>
        <v>0</v>
      </c>
      <c r="R19" s="66">
        <f>M21</f>
        <v>96</v>
      </c>
    </row>
    <row r="20" spans="1:18">
      <c r="A20" s="67">
        <v>80</v>
      </c>
      <c r="B20" s="89"/>
      <c r="C20" s="89"/>
      <c r="D20" s="89"/>
      <c r="E20" s="89"/>
      <c r="F20" s="89"/>
      <c r="G20" s="68" t="s">
        <v>152</v>
      </c>
      <c r="H20" s="69">
        <v>100</v>
      </c>
      <c r="I20" s="69">
        <v>670</v>
      </c>
      <c r="J20" s="69">
        <v>72</v>
      </c>
      <c r="K20" s="69">
        <v>24</v>
      </c>
      <c r="L20" s="69"/>
      <c r="M20" s="69">
        <v>96</v>
      </c>
      <c r="N20" s="69">
        <f>J20*$P$3/1000</f>
        <v>1656</v>
      </c>
      <c r="O20" s="69">
        <f>K20*$Q$3/1000</f>
        <v>648</v>
      </c>
      <c r="P20" s="69">
        <f>L20*$P$3/1000</f>
        <v>0</v>
      </c>
      <c r="Q20" s="69">
        <f t="shared" si="0"/>
        <v>2304</v>
      </c>
      <c r="R20" s="70"/>
    </row>
    <row r="21" spans="1:18">
      <c r="A21" s="71"/>
      <c r="B21" s="90"/>
      <c r="C21" s="90"/>
      <c r="D21" s="90"/>
      <c r="E21" s="90"/>
      <c r="F21" s="90"/>
      <c r="G21" s="49" t="s">
        <v>153</v>
      </c>
      <c r="H21" s="72">
        <f t="shared" ref="H21:P21" si="5">SUM(H19:H20)</f>
        <v>100</v>
      </c>
      <c r="I21" s="72">
        <f t="shared" si="5"/>
        <v>670</v>
      </c>
      <c r="J21" s="72">
        <f t="shared" si="5"/>
        <v>72</v>
      </c>
      <c r="K21" s="72">
        <f t="shared" si="5"/>
        <v>24</v>
      </c>
      <c r="L21" s="72">
        <f t="shared" si="5"/>
        <v>0</v>
      </c>
      <c r="M21" s="72">
        <f t="shared" si="5"/>
        <v>96</v>
      </c>
      <c r="N21" s="72">
        <f t="shared" si="5"/>
        <v>1656</v>
      </c>
      <c r="O21" s="72">
        <f t="shared" si="5"/>
        <v>648</v>
      </c>
      <c r="P21" s="72">
        <f t="shared" si="5"/>
        <v>0</v>
      </c>
      <c r="Q21" s="72">
        <f t="shared" si="0"/>
        <v>2304</v>
      </c>
      <c r="R21" s="72">
        <f>Q21*1000</f>
        <v>2304000</v>
      </c>
    </row>
    <row r="22" spans="1:18">
      <c r="A22" s="64" t="s">
        <v>157</v>
      </c>
      <c r="B22" s="88">
        <v>350</v>
      </c>
      <c r="C22" s="88"/>
      <c r="D22" s="88">
        <v>375</v>
      </c>
      <c r="E22" s="88">
        <v>1544.0000295639038</v>
      </c>
      <c r="F22" s="88">
        <v>380</v>
      </c>
      <c r="G22" s="43" t="s">
        <v>151</v>
      </c>
      <c r="H22" s="65">
        <v>45</v>
      </c>
      <c r="I22" s="65">
        <v>171</v>
      </c>
      <c r="J22" s="65">
        <v>8</v>
      </c>
      <c r="K22" s="65">
        <v>4</v>
      </c>
      <c r="L22" s="65">
        <v>1</v>
      </c>
      <c r="M22" s="65">
        <v>13</v>
      </c>
      <c r="N22" s="65">
        <f>J22*$P$2/1000</f>
        <v>176</v>
      </c>
      <c r="O22" s="65">
        <f>K22*$Q$2/1000</f>
        <v>100</v>
      </c>
      <c r="P22" s="65">
        <f>L22*$P$2/1000</f>
        <v>22</v>
      </c>
      <c r="Q22" s="65">
        <f t="shared" si="0"/>
        <v>298</v>
      </c>
      <c r="R22" s="66">
        <f>M24</f>
        <v>49</v>
      </c>
    </row>
    <row r="23" spans="1:18">
      <c r="A23" s="67">
        <v>160</v>
      </c>
      <c r="B23" s="89"/>
      <c r="C23" s="89"/>
      <c r="D23" s="89"/>
      <c r="E23" s="89"/>
      <c r="F23" s="89"/>
      <c r="G23" s="68" t="s">
        <v>152</v>
      </c>
      <c r="H23" s="69">
        <v>55</v>
      </c>
      <c r="I23" s="69">
        <v>209</v>
      </c>
      <c r="J23" s="69">
        <v>27</v>
      </c>
      <c r="K23" s="69">
        <v>9</v>
      </c>
      <c r="L23" s="69"/>
      <c r="M23" s="69">
        <v>36</v>
      </c>
      <c r="N23" s="69">
        <f>J23*$P$3/1000</f>
        <v>621</v>
      </c>
      <c r="O23" s="69">
        <f>K23*$Q$3/1000</f>
        <v>243</v>
      </c>
      <c r="P23" s="69">
        <f>L23*$P$3/1000</f>
        <v>0</v>
      </c>
      <c r="Q23" s="69">
        <f t="shared" si="0"/>
        <v>864</v>
      </c>
      <c r="R23" s="70"/>
    </row>
    <row r="24" spans="1:18">
      <c r="A24" s="71"/>
      <c r="B24" s="90"/>
      <c r="C24" s="90"/>
      <c r="D24" s="90"/>
      <c r="E24" s="90"/>
      <c r="F24" s="90"/>
      <c r="G24" s="49" t="s">
        <v>153</v>
      </c>
      <c r="H24" s="72">
        <f t="shared" ref="H24:P24" si="6">SUM(H22:H23)</f>
        <v>100</v>
      </c>
      <c r="I24" s="72">
        <f t="shared" si="6"/>
        <v>380</v>
      </c>
      <c r="J24" s="72">
        <f t="shared" si="6"/>
        <v>35</v>
      </c>
      <c r="K24" s="72">
        <f t="shared" si="6"/>
        <v>13</v>
      </c>
      <c r="L24" s="72">
        <f t="shared" si="6"/>
        <v>1</v>
      </c>
      <c r="M24" s="72">
        <f t="shared" si="6"/>
        <v>49</v>
      </c>
      <c r="N24" s="72">
        <f t="shared" si="6"/>
        <v>797</v>
      </c>
      <c r="O24" s="72">
        <f t="shared" si="6"/>
        <v>343</v>
      </c>
      <c r="P24" s="72">
        <f t="shared" si="6"/>
        <v>22</v>
      </c>
      <c r="Q24" s="72">
        <f t="shared" si="0"/>
        <v>1162</v>
      </c>
      <c r="R24" s="72">
        <f>Q24*1000</f>
        <v>1162000</v>
      </c>
    </row>
    <row r="25" spans="1:18">
      <c r="A25" s="64" t="s">
        <v>158</v>
      </c>
      <c r="B25" s="88">
        <v>360</v>
      </c>
      <c r="C25" s="88"/>
      <c r="D25" s="88">
        <v>585</v>
      </c>
      <c r="E25" s="88">
        <v>1149.5000112056732</v>
      </c>
      <c r="F25" s="88">
        <v>721</v>
      </c>
      <c r="G25" s="43" t="s">
        <v>151</v>
      </c>
      <c r="H25" s="65">
        <v>30</v>
      </c>
      <c r="I25" s="65">
        <v>216.3</v>
      </c>
      <c r="J25" s="65">
        <v>6</v>
      </c>
      <c r="K25" s="65">
        <v>3</v>
      </c>
      <c r="L25" s="65">
        <v>1</v>
      </c>
      <c r="M25" s="65">
        <v>10</v>
      </c>
      <c r="N25" s="65">
        <f>J25*$P$2/1000</f>
        <v>132</v>
      </c>
      <c r="O25" s="65">
        <f>K25*$Q$2/1000</f>
        <v>75</v>
      </c>
      <c r="P25" s="65">
        <f>L25*$P$2/1000</f>
        <v>22</v>
      </c>
      <c r="Q25" s="65">
        <f t="shared" si="0"/>
        <v>229</v>
      </c>
      <c r="R25" s="66">
        <f>M27</f>
        <v>70</v>
      </c>
    </row>
    <row r="26" spans="1:18">
      <c r="A26" s="67" t="s">
        <v>159</v>
      </c>
      <c r="B26" s="89"/>
      <c r="C26" s="89"/>
      <c r="D26" s="89"/>
      <c r="E26" s="89"/>
      <c r="F26" s="89"/>
      <c r="G26" s="68" t="s">
        <v>152</v>
      </c>
      <c r="H26" s="69">
        <v>70</v>
      </c>
      <c r="I26" s="69">
        <v>504.7</v>
      </c>
      <c r="J26" s="69">
        <v>45</v>
      </c>
      <c r="K26" s="69">
        <v>15</v>
      </c>
      <c r="L26" s="69"/>
      <c r="M26" s="69">
        <v>60</v>
      </c>
      <c r="N26" s="69">
        <f>J26*$P$3/1000</f>
        <v>1035</v>
      </c>
      <c r="O26" s="69">
        <f>K26*$Q$3/1000</f>
        <v>405</v>
      </c>
      <c r="P26" s="69">
        <f>L26*$P$3/1000</f>
        <v>0</v>
      </c>
      <c r="Q26" s="69">
        <f t="shared" si="0"/>
        <v>1440</v>
      </c>
      <c r="R26" s="70"/>
    </row>
    <row r="27" spans="1:18">
      <c r="A27" s="71"/>
      <c r="B27" s="90"/>
      <c r="C27" s="90"/>
      <c r="D27" s="90"/>
      <c r="E27" s="90"/>
      <c r="F27" s="90"/>
      <c r="G27" s="49" t="s">
        <v>153</v>
      </c>
      <c r="H27" s="72">
        <f t="shared" ref="H27:P27" si="7">SUM(H25:H26)</f>
        <v>100</v>
      </c>
      <c r="I27" s="72">
        <f t="shared" si="7"/>
        <v>721</v>
      </c>
      <c r="J27" s="72">
        <f t="shared" si="7"/>
        <v>51</v>
      </c>
      <c r="K27" s="72">
        <f t="shared" si="7"/>
        <v>18</v>
      </c>
      <c r="L27" s="72">
        <f t="shared" si="7"/>
        <v>1</v>
      </c>
      <c r="M27" s="72">
        <f t="shared" si="7"/>
        <v>70</v>
      </c>
      <c r="N27" s="72">
        <f t="shared" si="7"/>
        <v>1167</v>
      </c>
      <c r="O27" s="72">
        <f t="shared" si="7"/>
        <v>480</v>
      </c>
      <c r="P27" s="72">
        <f t="shared" si="7"/>
        <v>22</v>
      </c>
      <c r="Q27" s="72">
        <f t="shared" si="0"/>
        <v>1669</v>
      </c>
      <c r="R27" s="72">
        <f>Q27*1000</f>
        <v>1669000</v>
      </c>
    </row>
    <row r="28" spans="1:18">
      <c r="A28" s="64" t="s">
        <v>160</v>
      </c>
      <c r="B28" s="88">
        <v>555</v>
      </c>
      <c r="C28" s="88"/>
      <c r="D28" s="88">
        <v>2405</v>
      </c>
      <c r="E28" s="88">
        <v>8459.600043296814</v>
      </c>
      <c r="F28" s="88">
        <v>2635</v>
      </c>
      <c r="G28" s="43" t="s">
        <v>151</v>
      </c>
      <c r="H28" s="65">
        <v>55</v>
      </c>
      <c r="I28" s="65">
        <v>1449.25</v>
      </c>
      <c r="J28" s="65">
        <v>46</v>
      </c>
      <c r="K28" s="65">
        <v>23</v>
      </c>
      <c r="L28" s="65">
        <v>7</v>
      </c>
      <c r="M28" s="65">
        <v>76</v>
      </c>
      <c r="N28" s="65">
        <f>J28*$P$2/1000</f>
        <v>1012</v>
      </c>
      <c r="O28" s="65">
        <f>K28*$Q$2/1000</f>
        <v>575</v>
      </c>
      <c r="P28" s="65">
        <f>L28*$P$2/1000</f>
        <v>154</v>
      </c>
      <c r="Q28" s="65">
        <f t="shared" si="0"/>
        <v>1741</v>
      </c>
      <c r="R28" s="66">
        <f>M30</f>
        <v>224</v>
      </c>
    </row>
    <row r="29" spans="1:18">
      <c r="A29" s="67" t="s">
        <v>156</v>
      </c>
      <c r="B29" s="89"/>
      <c r="C29" s="89"/>
      <c r="D29" s="89"/>
      <c r="E29" s="89"/>
      <c r="F29" s="89"/>
      <c r="G29" s="68" t="s">
        <v>152</v>
      </c>
      <c r="H29" s="69">
        <v>45</v>
      </c>
      <c r="I29" s="69">
        <v>1185.75</v>
      </c>
      <c r="J29" s="69">
        <v>111</v>
      </c>
      <c r="K29" s="69">
        <v>37</v>
      </c>
      <c r="L29" s="69"/>
      <c r="M29" s="69">
        <v>148</v>
      </c>
      <c r="N29" s="69">
        <f>J29*$P$3/1000</f>
        <v>2553</v>
      </c>
      <c r="O29" s="69">
        <f>K29*$Q$3/1000</f>
        <v>999</v>
      </c>
      <c r="P29" s="69">
        <f>L29*$P$3/1000</f>
        <v>0</v>
      </c>
      <c r="Q29" s="69">
        <f t="shared" si="0"/>
        <v>3552</v>
      </c>
      <c r="R29" s="70"/>
    </row>
    <row r="30" spans="1:18">
      <c r="A30" s="71"/>
      <c r="B30" s="90"/>
      <c r="C30" s="90"/>
      <c r="D30" s="90"/>
      <c r="E30" s="90"/>
      <c r="F30" s="90"/>
      <c r="G30" s="49" t="s">
        <v>153</v>
      </c>
      <c r="H30" s="72">
        <f t="shared" ref="H30:P30" si="8">SUM(H28:H29)</f>
        <v>100</v>
      </c>
      <c r="I30" s="72">
        <f t="shared" si="8"/>
        <v>2635</v>
      </c>
      <c r="J30" s="72">
        <f t="shared" si="8"/>
        <v>157</v>
      </c>
      <c r="K30" s="72">
        <f t="shared" si="8"/>
        <v>60</v>
      </c>
      <c r="L30" s="72">
        <f t="shared" si="8"/>
        <v>7</v>
      </c>
      <c r="M30" s="72">
        <f t="shared" si="8"/>
        <v>224</v>
      </c>
      <c r="N30" s="72">
        <f t="shared" si="8"/>
        <v>3565</v>
      </c>
      <c r="O30" s="72">
        <f t="shared" si="8"/>
        <v>1574</v>
      </c>
      <c r="P30" s="72">
        <f t="shared" si="8"/>
        <v>154</v>
      </c>
      <c r="Q30" s="72">
        <f t="shared" si="0"/>
        <v>5293</v>
      </c>
      <c r="R30" s="72">
        <f>Q30*1000</f>
        <v>5293000</v>
      </c>
    </row>
    <row r="31" spans="1:18">
      <c r="A31" s="64" t="s">
        <v>161</v>
      </c>
      <c r="B31" s="88">
        <v>790</v>
      </c>
      <c r="C31" s="88"/>
      <c r="D31" s="88">
        <v>1890</v>
      </c>
      <c r="E31" s="88">
        <v>3950.4500514268875</v>
      </c>
      <c r="F31" s="88">
        <v>914</v>
      </c>
      <c r="G31" s="43" t="s">
        <v>151</v>
      </c>
      <c r="H31" s="65">
        <v>35</v>
      </c>
      <c r="I31" s="65">
        <v>319.89999999999998</v>
      </c>
      <c r="J31" s="65">
        <v>10</v>
      </c>
      <c r="K31" s="65">
        <v>5</v>
      </c>
      <c r="L31" s="65">
        <v>1</v>
      </c>
      <c r="M31" s="65">
        <v>16</v>
      </c>
      <c r="N31" s="65">
        <f>J31*$P$2/1000</f>
        <v>220</v>
      </c>
      <c r="O31" s="65">
        <f>K31*$Q$2/1000</f>
        <v>125</v>
      </c>
      <c r="P31" s="65">
        <f>L31*$P$2/1000</f>
        <v>22</v>
      </c>
      <c r="Q31" s="65">
        <f t="shared" si="0"/>
        <v>367</v>
      </c>
      <c r="R31" s="66">
        <f>M33</f>
        <v>96</v>
      </c>
    </row>
    <row r="32" spans="1:18">
      <c r="A32" s="67" t="s">
        <v>159</v>
      </c>
      <c r="B32" s="89"/>
      <c r="C32" s="89"/>
      <c r="D32" s="89"/>
      <c r="E32" s="89"/>
      <c r="F32" s="89"/>
      <c r="G32" s="68" t="s">
        <v>152</v>
      </c>
      <c r="H32" s="69">
        <v>65</v>
      </c>
      <c r="I32" s="69">
        <v>594.1</v>
      </c>
      <c r="J32" s="69">
        <v>60</v>
      </c>
      <c r="K32" s="69">
        <v>20</v>
      </c>
      <c r="L32" s="69"/>
      <c r="M32" s="69">
        <v>80</v>
      </c>
      <c r="N32" s="69">
        <f>J32*$P$3/1000</f>
        <v>1380</v>
      </c>
      <c r="O32" s="69">
        <f>K32*$Q$3/1000</f>
        <v>540</v>
      </c>
      <c r="P32" s="69">
        <f>L32*$P$3/1000</f>
        <v>0</v>
      </c>
      <c r="Q32" s="69">
        <f t="shared" si="0"/>
        <v>1920</v>
      </c>
      <c r="R32" s="70"/>
    </row>
    <row r="33" spans="1:18">
      <c r="A33" s="71"/>
      <c r="B33" s="90"/>
      <c r="C33" s="90"/>
      <c r="D33" s="90"/>
      <c r="E33" s="90"/>
      <c r="F33" s="90"/>
      <c r="G33" s="49" t="s">
        <v>153</v>
      </c>
      <c r="H33" s="72">
        <f t="shared" ref="H33:P33" si="9">SUM(H31:H32)</f>
        <v>100</v>
      </c>
      <c r="I33" s="72">
        <f t="shared" si="9"/>
        <v>914</v>
      </c>
      <c r="J33" s="72">
        <f t="shared" si="9"/>
        <v>70</v>
      </c>
      <c r="K33" s="72">
        <f t="shared" si="9"/>
        <v>25</v>
      </c>
      <c r="L33" s="72">
        <f t="shared" si="9"/>
        <v>1</v>
      </c>
      <c r="M33" s="72">
        <f t="shared" si="9"/>
        <v>96</v>
      </c>
      <c r="N33" s="72">
        <f t="shared" si="9"/>
        <v>1600</v>
      </c>
      <c r="O33" s="72">
        <f t="shared" si="9"/>
        <v>665</v>
      </c>
      <c r="P33" s="72">
        <f t="shared" si="9"/>
        <v>22</v>
      </c>
      <c r="Q33" s="72">
        <f t="shared" si="0"/>
        <v>2287</v>
      </c>
      <c r="R33" s="72">
        <f>Q33*1000</f>
        <v>2287000</v>
      </c>
    </row>
    <row r="34" spans="1:18">
      <c r="A34" s="64" t="s">
        <v>162</v>
      </c>
      <c r="B34" s="88">
        <v>350</v>
      </c>
      <c r="C34" s="88"/>
      <c r="D34" s="88">
        <v>505</v>
      </c>
      <c r="E34" s="88">
        <v>1731.3999783992767</v>
      </c>
      <c r="F34" s="88">
        <v>649</v>
      </c>
      <c r="G34" s="43" t="s">
        <v>151</v>
      </c>
      <c r="H34" s="65">
        <v>45</v>
      </c>
      <c r="I34" s="65">
        <v>292.05</v>
      </c>
      <c r="J34" s="65">
        <v>12</v>
      </c>
      <c r="K34" s="65">
        <v>6</v>
      </c>
      <c r="L34" s="65">
        <v>1</v>
      </c>
      <c r="M34" s="65">
        <v>19</v>
      </c>
      <c r="N34" s="65">
        <f>J34*$P$2/1000</f>
        <v>264</v>
      </c>
      <c r="O34" s="65">
        <f>K34*$Q$2/1000</f>
        <v>150</v>
      </c>
      <c r="P34" s="65">
        <f>L34*$P$2/1000</f>
        <v>22</v>
      </c>
      <c r="Q34" s="65">
        <f t="shared" si="0"/>
        <v>436</v>
      </c>
      <c r="R34" s="66">
        <f>M36</f>
        <v>79</v>
      </c>
    </row>
    <row r="35" spans="1:18">
      <c r="A35" s="67">
        <v>80</v>
      </c>
      <c r="B35" s="89"/>
      <c r="C35" s="89"/>
      <c r="D35" s="89"/>
      <c r="E35" s="89"/>
      <c r="F35" s="89"/>
      <c r="G35" s="68" t="s">
        <v>152</v>
      </c>
      <c r="H35" s="69">
        <v>55</v>
      </c>
      <c r="I35" s="69">
        <v>356.95</v>
      </c>
      <c r="J35" s="69">
        <v>45</v>
      </c>
      <c r="K35" s="69">
        <v>15</v>
      </c>
      <c r="L35" s="69"/>
      <c r="M35" s="69">
        <v>60</v>
      </c>
      <c r="N35" s="69">
        <f>J35*$P$3/1000</f>
        <v>1035</v>
      </c>
      <c r="O35" s="69">
        <f>K35*$Q$3/1000</f>
        <v>405</v>
      </c>
      <c r="P35" s="69">
        <f>L35*$P$3/1000</f>
        <v>0</v>
      </c>
      <c r="Q35" s="69">
        <f t="shared" si="0"/>
        <v>1440</v>
      </c>
      <c r="R35" s="70"/>
    </row>
    <row r="36" spans="1:18">
      <c r="A36" s="71"/>
      <c r="B36" s="90"/>
      <c r="C36" s="90"/>
      <c r="D36" s="90"/>
      <c r="E36" s="90"/>
      <c r="F36" s="90"/>
      <c r="G36" s="49" t="s">
        <v>153</v>
      </c>
      <c r="H36" s="72">
        <f t="shared" ref="H36:P36" si="10">SUM(H34:H35)</f>
        <v>100</v>
      </c>
      <c r="I36" s="72">
        <f t="shared" si="10"/>
        <v>649</v>
      </c>
      <c r="J36" s="72">
        <f t="shared" si="10"/>
        <v>57</v>
      </c>
      <c r="K36" s="72">
        <f t="shared" si="10"/>
        <v>21</v>
      </c>
      <c r="L36" s="72">
        <f t="shared" si="10"/>
        <v>1</v>
      </c>
      <c r="M36" s="72">
        <f t="shared" si="10"/>
        <v>79</v>
      </c>
      <c r="N36" s="72">
        <f t="shared" si="10"/>
        <v>1299</v>
      </c>
      <c r="O36" s="72">
        <f t="shared" si="10"/>
        <v>555</v>
      </c>
      <c r="P36" s="72">
        <f t="shared" si="10"/>
        <v>22</v>
      </c>
      <c r="Q36" s="72">
        <f t="shared" si="0"/>
        <v>1876</v>
      </c>
      <c r="R36" s="72">
        <f>Q36*1000</f>
        <v>1876000</v>
      </c>
    </row>
    <row r="37" spans="1:18">
      <c r="A37" s="64" t="s">
        <v>163</v>
      </c>
      <c r="B37" s="88">
        <v>360</v>
      </c>
      <c r="C37" s="88"/>
      <c r="D37" s="88">
        <v>435</v>
      </c>
      <c r="E37" s="88">
        <v>1821.8999671936035</v>
      </c>
      <c r="F37" s="88">
        <v>558</v>
      </c>
      <c r="G37" s="43" t="s">
        <v>151</v>
      </c>
      <c r="H37" s="65">
        <v>55</v>
      </c>
      <c r="I37" s="65">
        <v>306.89999999999998</v>
      </c>
      <c r="J37" s="65">
        <v>18</v>
      </c>
      <c r="K37" s="65">
        <v>9</v>
      </c>
      <c r="L37" s="65">
        <v>2</v>
      </c>
      <c r="M37" s="65">
        <v>29</v>
      </c>
      <c r="N37" s="65">
        <f>J37*$P$2/1000</f>
        <v>396</v>
      </c>
      <c r="O37" s="65">
        <f>K37*$Q$2/1000</f>
        <v>225</v>
      </c>
      <c r="P37" s="65">
        <f>L37*$P$2/1000</f>
        <v>44</v>
      </c>
      <c r="Q37" s="65">
        <f t="shared" si="0"/>
        <v>665</v>
      </c>
      <c r="R37" s="66">
        <f>M39</f>
        <v>81</v>
      </c>
    </row>
    <row r="38" spans="1:18">
      <c r="A38" s="67">
        <v>160</v>
      </c>
      <c r="B38" s="89"/>
      <c r="C38" s="89"/>
      <c r="D38" s="89"/>
      <c r="E38" s="89"/>
      <c r="F38" s="89"/>
      <c r="G38" s="68" t="s">
        <v>152</v>
      </c>
      <c r="H38" s="69">
        <v>45</v>
      </c>
      <c r="I38" s="69">
        <v>251.1</v>
      </c>
      <c r="J38" s="69">
        <v>39</v>
      </c>
      <c r="K38" s="69">
        <v>13</v>
      </c>
      <c r="L38" s="69"/>
      <c r="M38" s="69">
        <v>52</v>
      </c>
      <c r="N38" s="69">
        <f>J38*$P$3/1000</f>
        <v>897</v>
      </c>
      <c r="O38" s="69">
        <f>K38*$Q$3/1000</f>
        <v>351</v>
      </c>
      <c r="P38" s="69">
        <f>L38*$P$3/1000</f>
        <v>0</v>
      </c>
      <c r="Q38" s="69">
        <f t="shared" si="0"/>
        <v>1248</v>
      </c>
      <c r="R38" s="70"/>
    </row>
    <row r="39" spans="1:18">
      <c r="A39" s="71"/>
      <c r="B39" s="90"/>
      <c r="C39" s="90"/>
      <c r="D39" s="90"/>
      <c r="E39" s="90"/>
      <c r="F39" s="90"/>
      <c r="G39" s="49" t="s">
        <v>153</v>
      </c>
      <c r="H39" s="72">
        <f t="shared" ref="H39:P39" si="11">SUM(H37:H38)</f>
        <v>100</v>
      </c>
      <c r="I39" s="72">
        <f t="shared" si="11"/>
        <v>558</v>
      </c>
      <c r="J39" s="72">
        <f t="shared" si="11"/>
        <v>57</v>
      </c>
      <c r="K39" s="72">
        <f t="shared" si="11"/>
        <v>22</v>
      </c>
      <c r="L39" s="72">
        <f t="shared" si="11"/>
        <v>2</v>
      </c>
      <c r="M39" s="72">
        <f t="shared" si="11"/>
        <v>81</v>
      </c>
      <c r="N39" s="72">
        <f t="shared" si="11"/>
        <v>1293</v>
      </c>
      <c r="O39" s="72">
        <f t="shared" si="11"/>
        <v>576</v>
      </c>
      <c r="P39" s="72">
        <f t="shared" si="11"/>
        <v>44</v>
      </c>
      <c r="Q39" s="72">
        <f t="shared" si="0"/>
        <v>1913</v>
      </c>
      <c r="R39" s="72">
        <f>Q39*1000</f>
        <v>1913000</v>
      </c>
    </row>
    <row r="40" spans="1:18">
      <c r="A40" s="64" t="s">
        <v>164</v>
      </c>
      <c r="B40" s="88">
        <v>450</v>
      </c>
      <c r="C40" s="88"/>
      <c r="D40" s="88">
        <v>1500</v>
      </c>
      <c r="E40" s="88">
        <v>5949.4999170303345</v>
      </c>
      <c r="F40" s="88">
        <v>1824</v>
      </c>
      <c r="G40" s="43" t="s">
        <v>151</v>
      </c>
      <c r="H40" s="65">
        <v>45</v>
      </c>
      <c r="I40" s="65">
        <v>820.8</v>
      </c>
      <c r="J40" s="65">
        <v>32</v>
      </c>
      <c r="K40" s="65">
        <v>16</v>
      </c>
      <c r="L40" s="65">
        <v>4</v>
      </c>
      <c r="M40" s="65">
        <v>52</v>
      </c>
      <c r="N40" s="65">
        <f>J40*$P$2/1000</f>
        <v>704</v>
      </c>
      <c r="O40" s="65">
        <f>K40*$Q$2/1000</f>
        <v>400</v>
      </c>
      <c r="P40" s="65">
        <f>L40*$P$2/1000</f>
        <v>88</v>
      </c>
      <c r="Q40" s="65">
        <f t="shared" si="0"/>
        <v>1192</v>
      </c>
      <c r="R40" s="66">
        <f>M42</f>
        <v>200</v>
      </c>
    </row>
    <row r="41" spans="1:18">
      <c r="A41" s="67">
        <v>40</v>
      </c>
      <c r="B41" s="89"/>
      <c r="C41" s="89"/>
      <c r="D41" s="89"/>
      <c r="E41" s="89"/>
      <c r="F41" s="89"/>
      <c r="G41" s="68" t="s">
        <v>152</v>
      </c>
      <c r="H41" s="69">
        <v>55</v>
      </c>
      <c r="I41" s="69">
        <v>1003.2</v>
      </c>
      <c r="J41" s="69">
        <v>111</v>
      </c>
      <c r="K41" s="69">
        <v>37</v>
      </c>
      <c r="L41" s="69"/>
      <c r="M41" s="69">
        <v>148</v>
      </c>
      <c r="N41" s="69">
        <f>J41*$P$3/1000</f>
        <v>2553</v>
      </c>
      <c r="O41" s="69">
        <f>K41*$Q$3/1000</f>
        <v>999</v>
      </c>
      <c r="P41" s="69">
        <f>L41*$P$3/1000</f>
        <v>0</v>
      </c>
      <c r="Q41" s="69">
        <f t="shared" si="0"/>
        <v>3552</v>
      </c>
      <c r="R41" s="70"/>
    </row>
    <row r="42" spans="1:18">
      <c r="A42" s="71"/>
      <c r="B42" s="90"/>
      <c r="C42" s="90"/>
      <c r="D42" s="90"/>
      <c r="E42" s="90"/>
      <c r="F42" s="90"/>
      <c r="G42" s="49" t="s">
        <v>153</v>
      </c>
      <c r="H42" s="72">
        <f t="shared" ref="H42:P42" si="12">SUM(H40:H41)</f>
        <v>100</v>
      </c>
      <c r="I42" s="72">
        <f t="shared" si="12"/>
        <v>1824</v>
      </c>
      <c r="J42" s="72">
        <f t="shared" si="12"/>
        <v>143</v>
      </c>
      <c r="K42" s="72">
        <f t="shared" si="12"/>
        <v>53</v>
      </c>
      <c r="L42" s="72">
        <f t="shared" si="12"/>
        <v>4</v>
      </c>
      <c r="M42" s="72">
        <f t="shared" si="12"/>
        <v>200</v>
      </c>
      <c r="N42" s="72">
        <f t="shared" si="12"/>
        <v>3257</v>
      </c>
      <c r="O42" s="72">
        <f t="shared" si="12"/>
        <v>1399</v>
      </c>
      <c r="P42" s="72">
        <f t="shared" si="12"/>
        <v>88</v>
      </c>
      <c r="Q42" s="72">
        <f t="shared" si="0"/>
        <v>4744</v>
      </c>
      <c r="R42" s="72">
        <f>Q42*1000</f>
        <v>4744000</v>
      </c>
    </row>
    <row r="43" spans="1:18">
      <c r="A43" s="64" t="s">
        <v>165</v>
      </c>
      <c r="B43" s="88">
        <v>300</v>
      </c>
      <c r="C43" s="88"/>
      <c r="D43" s="88">
        <v>375</v>
      </c>
      <c r="E43" s="88">
        <v>1201.5000104904175</v>
      </c>
      <c r="F43" s="88">
        <v>442</v>
      </c>
      <c r="G43" s="43" t="s">
        <v>151</v>
      </c>
      <c r="H43" s="65">
        <v>0</v>
      </c>
      <c r="I43" s="65">
        <v>0</v>
      </c>
      <c r="J43" s="65">
        <v>0</v>
      </c>
      <c r="K43" s="65">
        <v>0</v>
      </c>
      <c r="L43" s="65">
        <v>0</v>
      </c>
      <c r="M43" s="65">
        <v>0</v>
      </c>
      <c r="N43" s="65">
        <f>J43*$P$2/1000</f>
        <v>0</v>
      </c>
      <c r="O43" s="65">
        <f>K43*$Q$2/1000</f>
        <v>0</v>
      </c>
      <c r="P43" s="65">
        <f>L43*$P$2/1000</f>
        <v>0</v>
      </c>
      <c r="Q43" s="65">
        <f t="shared" si="0"/>
        <v>0</v>
      </c>
      <c r="R43" s="66">
        <f>M45</f>
        <v>84</v>
      </c>
    </row>
    <row r="44" spans="1:18">
      <c r="A44" s="67">
        <v>80</v>
      </c>
      <c r="B44" s="89"/>
      <c r="C44" s="89"/>
      <c r="D44" s="89"/>
      <c r="E44" s="89"/>
      <c r="F44" s="89"/>
      <c r="G44" s="68" t="s">
        <v>152</v>
      </c>
      <c r="H44" s="69">
        <v>100</v>
      </c>
      <c r="I44" s="69">
        <v>442</v>
      </c>
      <c r="J44" s="69">
        <v>63</v>
      </c>
      <c r="K44" s="69">
        <v>21</v>
      </c>
      <c r="L44" s="69"/>
      <c r="M44" s="69">
        <v>84</v>
      </c>
      <c r="N44" s="69">
        <f>J44*$P$3/1000</f>
        <v>1449</v>
      </c>
      <c r="O44" s="69">
        <f>K44*$Q$3/1000</f>
        <v>567</v>
      </c>
      <c r="P44" s="69">
        <f>L44*$P$3/1000</f>
        <v>0</v>
      </c>
      <c r="Q44" s="69">
        <f t="shared" si="0"/>
        <v>2016</v>
      </c>
      <c r="R44" s="70"/>
    </row>
    <row r="45" spans="1:18">
      <c r="A45" s="71"/>
      <c r="B45" s="90"/>
      <c r="C45" s="90"/>
      <c r="D45" s="90"/>
      <c r="E45" s="90"/>
      <c r="F45" s="90"/>
      <c r="G45" s="49" t="s">
        <v>153</v>
      </c>
      <c r="H45" s="72">
        <f t="shared" ref="H45:P45" si="13">SUM(H43:H44)</f>
        <v>100</v>
      </c>
      <c r="I45" s="72">
        <f t="shared" si="13"/>
        <v>442</v>
      </c>
      <c r="J45" s="72">
        <f t="shared" si="13"/>
        <v>63</v>
      </c>
      <c r="K45" s="72">
        <f t="shared" si="13"/>
        <v>21</v>
      </c>
      <c r="L45" s="72">
        <f t="shared" si="13"/>
        <v>0</v>
      </c>
      <c r="M45" s="72">
        <f t="shared" si="13"/>
        <v>84</v>
      </c>
      <c r="N45" s="72">
        <f t="shared" si="13"/>
        <v>1449</v>
      </c>
      <c r="O45" s="72">
        <f t="shared" si="13"/>
        <v>567</v>
      </c>
      <c r="P45" s="72">
        <f t="shared" si="13"/>
        <v>0</v>
      </c>
      <c r="Q45" s="72">
        <f t="shared" si="0"/>
        <v>2016</v>
      </c>
      <c r="R45" s="72">
        <f>Q45*1000</f>
        <v>2016000</v>
      </c>
    </row>
    <row r="46" spans="1:18">
      <c r="A46" s="91" t="s">
        <v>166</v>
      </c>
      <c r="B46" s="94">
        <f>SUM(B7:B45)</f>
        <v>18804</v>
      </c>
      <c r="C46" s="94">
        <f>SUM(C7:C45)</f>
        <v>0</v>
      </c>
      <c r="D46" s="94">
        <f>SUM(D7:D45)</f>
        <v>85812.5</v>
      </c>
      <c r="E46" s="94">
        <f>SUM(E7:E45)</f>
        <v>409183.54290151596</v>
      </c>
      <c r="F46" s="94">
        <f>SUM(F7:F45)</f>
        <v>58129</v>
      </c>
      <c r="G46" s="73" t="s">
        <v>151</v>
      </c>
      <c r="H46" s="74"/>
      <c r="I46" s="74">
        <f t="shared" ref="I46:Q47" si="14">I7+I10+I13+I16+I19+I22+I25+I28+I31+I34+I37+I40+I43</f>
        <v>20679.899999999998</v>
      </c>
      <c r="J46" s="74">
        <f t="shared" si="14"/>
        <v>568</v>
      </c>
      <c r="K46" s="74">
        <f t="shared" si="14"/>
        <v>284</v>
      </c>
      <c r="L46" s="74">
        <f t="shared" si="14"/>
        <v>81</v>
      </c>
      <c r="M46" s="74">
        <f t="shared" si="14"/>
        <v>933</v>
      </c>
      <c r="N46" s="74">
        <f t="shared" si="14"/>
        <v>12496</v>
      </c>
      <c r="O46" s="74">
        <f t="shared" si="14"/>
        <v>7100</v>
      </c>
      <c r="P46" s="74">
        <f t="shared" si="14"/>
        <v>1782</v>
      </c>
      <c r="Q46" s="74">
        <f t="shared" si="14"/>
        <v>21378</v>
      </c>
      <c r="R46" s="75"/>
    </row>
    <row r="47" spans="1:18">
      <c r="A47" s="92"/>
      <c r="B47" s="95"/>
      <c r="C47" s="95"/>
      <c r="D47" s="95"/>
      <c r="E47" s="95"/>
      <c r="F47" s="95"/>
      <c r="G47" s="76" t="s">
        <v>152</v>
      </c>
      <c r="H47" s="77"/>
      <c r="I47" s="77">
        <f t="shared" si="14"/>
        <v>37449.099999999991</v>
      </c>
      <c r="J47" s="77">
        <f t="shared" si="14"/>
        <v>3075</v>
      </c>
      <c r="K47" s="77">
        <f t="shared" si="14"/>
        <v>1025</v>
      </c>
      <c r="L47" s="77">
        <f t="shared" si="14"/>
        <v>0</v>
      </c>
      <c r="M47" s="77">
        <f t="shared" si="14"/>
        <v>4100</v>
      </c>
      <c r="N47" s="77">
        <f t="shared" si="14"/>
        <v>70725</v>
      </c>
      <c r="O47" s="77">
        <f t="shared" si="14"/>
        <v>27675</v>
      </c>
      <c r="P47" s="77">
        <f t="shared" si="14"/>
        <v>0</v>
      </c>
      <c r="Q47" s="77">
        <f t="shared" si="14"/>
        <v>98400</v>
      </c>
      <c r="R47" s="78"/>
    </row>
    <row r="48" spans="1:18">
      <c r="A48" s="93"/>
      <c r="B48" s="96"/>
      <c r="C48" s="96"/>
      <c r="D48" s="96"/>
      <c r="E48" s="96"/>
      <c r="F48" s="96"/>
      <c r="G48" s="79" t="s">
        <v>153</v>
      </c>
      <c r="H48" s="80"/>
      <c r="I48" s="80">
        <f t="shared" ref="I48:Q48" si="15">SUM(I46:I47)</f>
        <v>58128.999999999985</v>
      </c>
      <c r="J48" s="80">
        <f t="shared" si="15"/>
        <v>3643</v>
      </c>
      <c r="K48" s="80">
        <f t="shared" si="15"/>
        <v>1309</v>
      </c>
      <c r="L48" s="80">
        <f t="shared" si="15"/>
        <v>81</v>
      </c>
      <c r="M48" s="80">
        <f t="shared" si="15"/>
        <v>5033</v>
      </c>
      <c r="N48" s="80">
        <f t="shared" si="15"/>
        <v>83221</v>
      </c>
      <c r="O48" s="80">
        <f t="shared" si="15"/>
        <v>34775</v>
      </c>
      <c r="P48" s="80">
        <f t="shared" si="15"/>
        <v>1782</v>
      </c>
      <c r="Q48" s="80">
        <f t="shared" si="15"/>
        <v>119778</v>
      </c>
      <c r="R48" s="80">
        <f>R9+R12+R15+R18+R24+R27+R30+R33+R36+R39+R42+R45</f>
        <v>117474000</v>
      </c>
    </row>
  </sheetData>
  <mergeCells count="71">
    <mergeCell ref="F46:F48"/>
    <mergeCell ref="B43:B45"/>
    <mergeCell ref="C43:C45"/>
    <mergeCell ref="D43:D45"/>
    <mergeCell ref="E43:E45"/>
    <mergeCell ref="F43:F45"/>
    <mergeCell ref="A46:A48"/>
    <mergeCell ref="B46:B48"/>
    <mergeCell ref="C46:C48"/>
    <mergeCell ref="D46:D48"/>
    <mergeCell ref="E46:E48"/>
    <mergeCell ref="B37:B39"/>
    <mergeCell ref="C37:C39"/>
    <mergeCell ref="D37:D39"/>
    <mergeCell ref="E37:E39"/>
    <mergeCell ref="F37:F39"/>
    <mergeCell ref="B40:B42"/>
    <mergeCell ref="C40:C42"/>
    <mergeCell ref="D40:D42"/>
    <mergeCell ref="E40:E42"/>
    <mergeCell ref="F40:F42"/>
    <mergeCell ref="B31:B33"/>
    <mergeCell ref="C31:C33"/>
    <mergeCell ref="D31:D33"/>
    <mergeCell ref="E31:E33"/>
    <mergeCell ref="F31:F33"/>
    <mergeCell ref="B34:B36"/>
    <mergeCell ref="C34:C36"/>
    <mergeCell ref="D34:D36"/>
    <mergeCell ref="E34:E36"/>
    <mergeCell ref="F34:F36"/>
    <mergeCell ref="B25:B27"/>
    <mergeCell ref="C25:C27"/>
    <mergeCell ref="D25:D27"/>
    <mergeCell ref="E25:E27"/>
    <mergeCell ref="F25:F27"/>
    <mergeCell ref="B28:B30"/>
    <mergeCell ref="C28:C30"/>
    <mergeCell ref="D28:D30"/>
    <mergeCell ref="E28:E30"/>
    <mergeCell ref="F28:F30"/>
    <mergeCell ref="B19:B21"/>
    <mergeCell ref="C19:C21"/>
    <mergeCell ref="D19:D21"/>
    <mergeCell ref="E19:E21"/>
    <mergeCell ref="F19:F21"/>
    <mergeCell ref="B22:B24"/>
    <mergeCell ref="C22:C24"/>
    <mergeCell ref="D22:D24"/>
    <mergeCell ref="E22:E24"/>
    <mergeCell ref="F22:F24"/>
    <mergeCell ref="B13:B15"/>
    <mergeCell ref="C13:C15"/>
    <mergeCell ref="D13:D15"/>
    <mergeCell ref="E13:E15"/>
    <mergeCell ref="F13:F15"/>
    <mergeCell ref="B16:B18"/>
    <mergeCell ref="C16:C18"/>
    <mergeCell ref="D16:D18"/>
    <mergeCell ref="E16:E18"/>
    <mergeCell ref="F16:F18"/>
    <mergeCell ref="B7:B9"/>
    <mergeCell ref="C7:C9"/>
    <mergeCell ref="D7:D9"/>
    <mergeCell ref="E7:E9"/>
    <mergeCell ref="F7:F9"/>
    <mergeCell ref="B10:B12"/>
    <mergeCell ref="C10:C12"/>
    <mergeCell ref="D10:D12"/>
    <mergeCell ref="E10:E12"/>
    <mergeCell ref="F10:F12"/>
  </mergeCells>
  <phoneticPr fontId="11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48"/>
  <sheetViews>
    <sheetView showGridLines="0" zoomScale="85" zoomScaleNormal="85" workbookViewId="0">
      <selection activeCell="F28" sqref="F28:F30"/>
    </sheetView>
  </sheetViews>
  <sheetFormatPr defaultRowHeight="10.5"/>
  <cols>
    <col min="1" max="1" width="11.125" style="37" customWidth="1"/>
    <col min="2" max="17" width="7.625" style="37" customWidth="1"/>
    <col min="18" max="18" width="10.625" style="37" customWidth="1"/>
    <col min="19" max="16384" width="9" style="37"/>
  </cols>
  <sheetData>
    <row r="1" spans="1:18">
      <c r="A1" s="37" t="s">
        <v>124</v>
      </c>
      <c r="D1" s="38"/>
      <c r="E1" s="38"/>
      <c r="F1" s="38"/>
      <c r="H1" s="38"/>
      <c r="I1" s="38"/>
      <c r="J1" s="38"/>
      <c r="K1" s="38"/>
      <c r="O1" s="39" t="s">
        <v>125</v>
      </c>
      <c r="P1" s="40" t="s">
        <v>126</v>
      </c>
      <c r="Q1" s="41" t="s">
        <v>127</v>
      </c>
    </row>
    <row r="2" spans="1:18">
      <c r="E2" s="42"/>
      <c r="F2" s="38"/>
      <c r="H2" s="38"/>
      <c r="I2" s="38"/>
      <c r="J2" s="38"/>
      <c r="K2" s="38"/>
      <c r="L2" s="38"/>
      <c r="O2" s="43" t="s">
        <v>174</v>
      </c>
      <c r="P2" s="44">
        <v>22000</v>
      </c>
      <c r="Q2" s="45">
        <v>25000</v>
      </c>
    </row>
    <row r="3" spans="1:18">
      <c r="A3" s="46"/>
      <c r="B3" s="46"/>
      <c r="C3" s="47"/>
      <c r="D3" s="48"/>
      <c r="E3" s="48"/>
      <c r="F3" s="47"/>
      <c r="G3" s="46"/>
      <c r="H3" s="47"/>
      <c r="I3" s="47"/>
      <c r="J3" s="47"/>
      <c r="K3" s="47"/>
      <c r="L3" s="46"/>
      <c r="O3" s="49" t="s">
        <v>175</v>
      </c>
      <c r="P3" s="50">
        <v>23000</v>
      </c>
      <c r="Q3" s="51">
        <v>27000</v>
      </c>
    </row>
    <row r="4" spans="1:18">
      <c r="A4" s="82" t="s">
        <v>128</v>
      </c>
      <c r="B4" s="53" t="s">
        <v>129</v>
      </c>
      <c r="C4" s="54"/>
      <c r="D4" s="54"/>
      <c r="E4" s="54"/>
      <c r="F4" s="55"/>
      <c r="G4" s="82" t="s">
        <v>176</v>
      </c>
      <c r="H4" s="56"/>
      <c r="I4" s="57"/>
      <c r="J4" s="53" t="s">
        <v>130</v>
      </c>
      <c r="K4" s="54"/>
      <c r="L4" s="54"/>
      <c r="M4" s="55"/>
      <c r="N4" s="53" t="s">
        <v>131</v>
      </c>
      <c r="O4" s="54"/>
      <c r="P4" s="54"/>
      <c r="Q4" s="55"/>
      <c r="R4" s="58"/>
    </row>
    <row r="5" spans="1:18">
      <c r="A5" s="83" t="s">
        <v>132</v>
      </c>
      <c r="B5" s="82" t="s">
        <v>133</v>
      </c>
      <c r="C5" s="82" t="s">
        <v>134</v>
      </c>
      <c r="D5" s="82" t="s">
        <v>177</v>
      </c>
      <c r="E5" s="82" t="s">
        <v>135</v>
      </c>
      <c r="F5" s="82" t="s">
        <v>178</v>
      </c>
      <c r="G5" s="83" t="s">
        <v>136</v>
      </c>
      <c r="H5" s="82" t="s">
        <v>179</v>
      </c>
      <c r="I5" s="60" t="s">
        <v>178</v>
      </c>
      <c r="J5" s="82" t="s">
        <v>137</v>
      </c>
      <c r="K5" s="60" t="s">
        <v>138</v>
      </c>
      <c r="L5" s="60" t="s">
        <v>139</v>
      </c>
      <c r="M5" s="60" t="s">
        <v>140</v>
      </c>
      <c r="N5" s="82" t="s">
        <v>141</v>
      </c>
      <c r="O5" s="60" t="s">
        <v>142</v>
      </c>
      <c r="P5" s="60" t="s">
        <v>139</v>
      </c>
      <c r="Q5" s="60" t="s">
        <v>143</v>
      </c>
      <c r="R5" s="83" t="s">
        <v>144</v>
      </c>
    </row>
    <row r="6" spans="1:18">
      <c r="A6" s="84"/>
      <c r="B6" s="84" t="s">
        <v>167</v>
      </c>
      <c r="C6" s="84" t="s">
        <v>145</v>
      </c>
      <c r="D6" s="84" t="s">
        <v>168</v>
      </c>
      <c r="E6" s="84" t="s">
        <v>146</v>
      </c>
      <c r="F6" s="84" t="s">
        <v>169</v>
      </c>
      <c r="G6" s="84"/>
      <c r="H6" s="84" t="s">
        <v>147</v>
      </c>
      <c r="I6" s="62" t="s">
        <v>169</v>
      </c>
      <c r="J6" s="84" t="s">
        <v>170</v>
      </c>
      <c r="K6" s="63" t="s">
        <v>171</v>
      </c>
      <c r="L6" s="63" t="s">
        <v>172</v>
      </c>
      <c r="M6" s="63" t="s">
        <v>173</v>
      </c>
      <c r="N6" s="84" t="s">
        <v>148</v>
      </c>
      <c r="O6" s="63" t="s">
        <v>149</v>
      </c>
      <c r="P6" s="63" t="s">
        <v>172</v>
      </c>
      <c r="Q6" s="63" t="s">
        <v>173</v>
      </c>
      <c r="R6" s="83"/>
    </row>
    <row r="7" spans="1:18">
      <c r="A7" s="64" t="s">
        <v>150</v>
      </c>
      <c r="B7" s="88">
        <v>12243</v>
      </c>
      <c r="C7" s="88"/>
      <c r="D7" s="88">
        <v>73744</v>
      </c>
      <c r="E7" s="88">
        <v>371974.90300655365</v>
      </c>
      <c r="F7" s="88">
        <v>44851</v>
      </c>
      <c r="G7" s="43" t="s">
        <v>151</v>
      </c>
      <c r="H7" s="65">
        <v>35</v>
      </c>
      <c r="I7" s="65">
        <v>15697.85</v>
      </c>
      <c r="J7" s="65">
        <v>396</v>
      </c>
      <c r="K7" s="65">
        <v>198</v>
      </c>
      <c r="L7" s="65">
        <v>59</v>
      </c>
      <c r="M7" s="65">
        <v>653</v>
      </c>
      <c r="N7" s="65">
        <f>J7*$P$2/1000</f>
        <v>8712</v>
      </c>
      <c r="O7" s="65">
        <f>K7*$Q$2/1000</f>
        <v>4950</v>
      </c>
      <c r="P7" s="65">
        <f>L7*$P$2/1000</f>
        <v>1298</v>
      </c>
      <c r="Q7" s="65">
        <f t="shared" ref="Q7:Q45" si="0">SUM(N7:P7)</f>
        <v>14960</v>
      </c>
      <c r="R7" s="81">
        <f>M9</f>
        <v>3605</v>
      </c>
    </row>
    <row r="8" spans="1:18">
      <c r="A8" s="67">
        <v>40</v>
      </c>
      <c r="B8" s="89"/>
      <c r="C8" s="89"/>
      <c r="D8" s="89"/>
      <c r="E8" s="89"/>
      <c r="F8" s="89"/>
      <c r="G8" s="68" t="s">
        <v>152</v>
      </c>
      <c r="H8" s="69">
        <v>65</v>
      </c>
      <c r="I8" s="69">
        <v>29153.15</v>
      </c>
      <c r="J8" s="69">
        <v>2214</v>
      </c>
      <c r="K8" s="69">
        <v>738</v>
      </c>
      <c r="L8" s="69"/>
      <c r="M8" s="69">
        <v>2952</v>
      </c>
      <c r="N8" s="69">
        <f>J8*$P$3/1000</f>
        <v>50922</v>
      </c>
      <c r="O8" s="69">
        <f>K8*$Q$3/1000</f>
        <v>19926</v>
      </c>
      <c r="P8" s="69">
        <f>L8*$P$3/1000</f>
        <v>0</v>
      </c>
      <c r="Q8" s="69">
        <f t="shared" si="0"/>
        <v>70848</v>
      </c>
      <c r="R8" s="70"/>
    </row>
    <row r="9" spans="1:18">
      <c r="A9" s="71"/>
      <c r="B9" s="90"/>
      <c r="C9" s="90"/>
      <c r="D9" s="90"/>
      <c r="E9" s="90"/>
      <c r="F9" s="90"/>
      <c r="G9" s="49" t="s">
        <v>153</v>
      </c>
      <c r="H9" s="72">
        <f t="shared" ref="H9:P9" si="1">SUM(H7:H8)</f>
        <v>100</v>
      </c>
      <c r="I9" s="72">
        <f>SUM(I7:I8)</f>
        <v>44851</v>
      </c>
      <c r="J9" s="72">
        <f t="shared" si="1"/>
        <v>2610</v>
      </c>
      <c r="K9" s="72">
        <f t="shared" si="1"/>
        <v>936</v>
      </c>
      <c r="L9" s="72">
        <f t="shared" si="1"/>
        <v>59</v>
      </c>
      <c r="M9" s="72">
        <f t="shared" si="1"/>
        <v>3605</v>
      </c>
      <c r="N9" s="72">
        <f t="shared" si="1"/>
        <v>59634</v>
      </c>
      <c r="O9" s="72">
        <f t="shared" si="1"/>
        <v>24876</v>
      </c>
      <c r="P9" s="72">
        <f t="shared" si="1"/>
        <v>1298</v>
      </c>
      <c r="Q9" s="72">
        <f t="shared" si="0"/>
        <v>85808</v>
      </c>
      <c r="R9" s="72">
        <f>Q9*1000</f>
        <v>85808000</v>
      </c>
    </row>
    <row r="10" spans="1:18">
      <c r="A10" s="64" t="s">
        <v>154</v>
      </c>
      <c r="B10" s="88">
        <v>1626</v>
      </c>
      <c r="C10" s="88"/>
      <c r="D10" s="88">
        <v>1901</v>
      </c>
      <c r="E10" s="88">
        <v>5468.6899217367172</v>
      </c>
      <c r="F10" s="88">
        <v>2295</v>
      </c>
      <c r="G10" s="43" t="s">
        <v>151</v>
      </c>
      <c r="H10" s="65">
        <v>55</v>
      </c>
      <c r="I10" s="65">
        <v>1262.25</v>
      </c>
      <c r="J10" s="65">
        <v>36</v>
      </c>
      <c r="K10" s="65">
        <v>18</v>
      </c>
      <c r="L10" s="65">
        <v>5</v>
      </c>
      <c r="M10" s="65">
        <v>59</v>
      </c>
      <c r="N10" s="65">
        <f>J10*$P$2/1000</f>
        <v>792</v>
      </c>
      <c r="O10" s="65">
        <f>K10*$Q$2/1000</f>
        <v>450</v>
      </c>
      <c r="P10" s="65">
        <f>L10*$P$2/1000</f>
        <v>110</v>
      </c>
      <c r="Q10" s="65">
        <f t="shared" si="0"/>
        <v>1352</v>
      </c>
      <c r="R10" s="81">
        <f>M12</f>
        <v>175</v>
      </c>
    </row>
    <row r="11" spans="1:18">
      <c r="A11" s="67">
        <v>80</v>
      </c>
      <c r="B11" s="89"/>
      <c r="C11" s="89"/>
      <c r="D11" s="89"/>
      <c r="E11" s="89"/>
      <c r="F11" s="89"/>
      <c r="G11" s="68" t="s">
        <v>152</v>
      </c>
      <c r="H11" s="69">
        <v>45</v>
      </c>
      <c r="I11" s="69">
        <v>1032.75</v>
      </c>
      <c r="J11" s="69">
        <v>87</v>
      </c>
      <c r="K11" s="69">
        <v>29</v>
      </c>
      <c r="L11" s="69"/>
      <c r="M11" s="69">
        <v>116</v>
      </c>
      <c r="N11" s="69">
        <f>J11*$P$3/1000</f>
        <v>2001</v>
      </c>
      <c r="O11" s="69">
        <f>K11*$Q$3/1000</f>
        <v>783</v>
      </c>
      <c r="P11" s="69">
        <f>L11*$P$3/1000</f>
        <v>0</v>
      </c>
      <c r="Q11" s="69">
        <f t="shared" si="0"/>
        <v>2784</v>
      </c>
      <c r="R11" s="70"/>
    </row>
    <row r="12" spans="1:18">
      <c r="A12" s="71"/>
      <c r="B12" s="90"/>
      <c r="C12" s="90"/>
      <c r="D12" s="90"/>
      <c r="E12" s="90"/>
      <c r="F12" s="90"/>
      <c r="G12" s="49" t="s">
        <v>153</v>
      </c>
      <c r="H12" s="72">
        <f t="shared" ref="H12:P12" si="2">SUM(H10:H11)</f>
        <v>100</v>
      </c>
      <c r="I12" s="72">
        <f t="shared" si="2"/>
        <v>2295</v>
      </c>
      <c r="J12" s="72">
        <f t="shared" si="2"/>
        <v>123</v>
      </c>
      <c r="K12" s="72">
        <f t="shared" si="2"/>
        <v>47</v>
      </c>
      <c r="L12" s="72">
        <f t="shared" si="2"/>
        <v>5</v>
      </c>
      <c r="M12" s="72">
        <f t="shared" si="2"/>
        <v>175</v>
      </c>
      <c r="N12" s="72">
        <f t="shared" si="2"/>
        <v>2793</v>
      </c>
      <c r="O12" s="72">
        <f t="shared" si="2"/>
        <v>1233</v>
      </c>
      <c r="P12" s="72">
        <f t="shared" si="2"/>
        <v>110</v>
      </c>
      <c r="Q12" s="72">
        <f t="shared" si="0"/>
        <v>4136</v>
      </c>
      <c r="R12" s="72">
        <f>Q12*1000</f>
        <v>4136000</v>
      </c>
    </row>
    <row r="13" spans="1:18">
      <c r="A13" s="64" t="s">
        <v>155</v>
      </c>
      <c r="B13" s="88">
        <v>450</v>
      </c>
      <c r="C13" s="88"/>
      <c r="D13" s="88">
        <v>572.5</v>
      </c>
      <c r="E13" s="88">
        <v>1205.2999830245972</v>
      </c>
      <c r="F13" s="88">
        <v>718</v>
      </c>
      <c r="G13" s="43" t="s">
        <v>151</v>
      </c>
      <c r="H13" s="65">
        <v>20</v>
      </c>
      <c r="I13" s="65">
        <v>143.6</v>
      </c>
      <c r="J13" s="65">
        <v>4</v>
      </c>
      <c r="K13" s="65">
        <v>2</v>
      </c>
      <c r="L13" s="65">
        <v>0</v>
      </c>
      <c r="M13" s="65">
        <v>6</v>
      </c>
      <c r="N13" s="65">
        <f>J13*$P$2/1000</f>
        <v>88</v>
      </c>
      <c r="O13" s="65">
        <f>K13*$Q$2/1000</f>
        <v>50</v>
      </c>
      <c r="P13" s="65">
        <f>L13*$P$2/1000</f>
        <v>0</v>
      </c>
      <c r="Q13" s="65">
        <f t="shared" si="0"/>
        <v>138</v>
      </c>
      <c r="R13" s="81">
        <f>M15</f>
        <v>78</v>
      </c>
    </row>
    <row r="14" spans="1:18">
      <c r="A14" s="67" t="s">
        <v>156</v>
      </c>
      <c r="B14" s="89"/>
      <c r="C14" s="89"/>
      <c r="D14" s="89"/>
      <c r="E14" s="89"/>
      <c r="F14" s="89"/>
      <c r="G14" s="68" t="s">
        <v>152</v>
      </c>
      <c r="H14" s="69">
        <v>80</v>
      </c>
      <c r="I14" s="69">
        <v>574.4</v>
      </c>
      <c r="J14" s="69">
        <v>54</v>
      </c>
      <c r="K14" s="69">
        <v>18</v>
      </c>
      <c r="L14" s="69"/>
      <c r="M14" s="69">
        <v>72</v>
      </c>
      <c r="N14" s="69">
        <f>J14*$P$3/1000</f>
        <v>1242</v>
      </c>
      <c r="O14" s="69">
        <f>K14*$Q$3/1000</f>
        <v>486</v>
      </c>
      <c r="P14" s="69">
        <f>L14*$P$3/1000</f>
        <v>0</v>
      </c>
      <c r="Q14" s="69">
        <f t="shared" si="0"/>
        <v>1728</v>
      </c>
      <c r="R14" s="70"/>
    </row>
    <row r="15" spans="1:18">
      <c r="A15" s="71"/>
      <c r="B15" s="90"/>
      <c r="C15" s="90"/>
      <c r="D15" s="90"/>
      <c r="E15" s="90"/>
      <c r="F15" s="90"/>
      <c r="G15" s="49" t="s">
        <v>153</v>
      </c>
      <c r="H15" s="72">
        <f t="shared" ref="H15:P15" si="3">SUM(H13:H14)</f>
        <v>100</v>
      </c>
      <c r="I15" s="72">
        <f t="shared" si="3"/>
        <v>718</v>
      </c>
      <c r="J15" s="72">
        <f t="shared" si="3"/>
        <v>58</v>
      </c>
      <c r="K15" s="72">
        <f t="shared" si="3"/>
        <v>20</v>
      </c>
      <c r="L15" s="72">
        <f t="shared" si="3"/>
        <v>0</v>
      </c>
      <c r="M15" s="72">
        <f t="shared" si="3"/>
        <v>78</v>
      </c>
      <c r="N15" s="72">
        <f t="shared" si="3"/>
        <v>1330</v>
      </c>
      <c r="O15" s="72">
        <f t="shared" si="3"/>
        <v>536</v>
      </c>
      <c r="P15" s="72">
        <f t="shared" si="3"/>
        <v>0</v>
      </c>
      <c r="Q15" s="72">
        <f t="shared" si="0"/>
        <v>1866</v>
      </c>
      <c r="R15" s="72">
        <f>Q15*1000</f>
        <v>1866000</v>
      </c>
    </row>
    <row r="16" spans="1:18">
      <c r="A16" s="64" t="s">
        <v>155</v>
      </c>
      <c r="B16" s="88">
        <v>570</v>
      </c>
      <c r="C16" s="88"/>
      <c r="D16" s="88">
        <v>1025</v>
      </c>
      <c r="E16" s="88">
        <v>3167.2999966144562</v>
      </c>
      <c r="F16" s="88">
        <v>1472</v>
      </c>
      <c r="G16" s="43" t="s">
        <v>151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f>J16*$P$2/1000</f>
        <v>0</v>
      </c>
      <c r="O16" s="65">
        <f>K16*$Q$2/1000</f>
        <v>0</v>
      </c>
      <c r="P16" s="65">
        <f>L16*$P$2/1000</f>
        <v>0</v>
      </c>
      <c r="Q16" s="65">
        <f t="shared" si="0"/>
        <v>0</v>
      </c>
      <c r="R16" s="81">
        <f>M18</f>
        <v>196</v>
      </c>
    </row>
    <row r="17" spans="1:18">
      <c r="A17" s="67">
        <v>40</v>
      </c>
      <c r="B17" s="89"/>
      <c r="C17" s="89"/>
      <c r="D17" s="89"/>
      <c r="E17" s="89"/>
      <c r="F17" s="89"/>
      <c r="G17" s="68" t="s">
        <v>152</v>
      </c>
      <c r="H17" s="69">
        <v>100</v>
      </c>
      <c r="I17" s="69">
        <v>1472</v>
      </c>
      <c r="J17" s="69">
        <v>147</v>
      </c>
      <c r="K17" s="69">
        <v>49</v>
      </c>
      <c r="L17" s="69"/>
      <c r="M17" s="69">
        <v>196</v>
      </c>
      <c r="N17" s="69">
        <f>J17*$P$3/1000</f>
        <v>3381</v>
      </c>
      <c r="O17" s="69">
        <f>K17*$Q$3/1000</f>
        <v>1323</v>
      </c>
      <c r="P17" s="69">
        <f>L17*$P$3/1000</f>
        <v>0</v>
      </c>
      <c r="Q17" s="69">
        <f t="shared" si="0"/>
        <v>4704</v>
      </c>
      <c r="R17" s="70"/>
    </row>
    <row r="18" spans="1:18">
      <c r="A18" s="71"/>
      <c r="B18" s="90"/>
      <c r="C18" s="90"/>
      <c r="D18" s="90"/>
      <c r="E18" s="90"/>
      <c r="F18" s="90"/>
      <c r="G18" s="49" t="s">
        <v>153</v>
      </c>
      <c r="H18" s="72">
        <f t="shared" ref="H18:P18" si="4">SUM(H16:H17)</f>
        <v>100</v>
      </c>
      <c r="I18" s="72">
        <f t="shared" si="4"/>
        <v>1472</v>
      </c>
      <c r="J18" s="72">
        <f t="shared" si="4"/>
        <v>147</v>
      </c>
      <c r="K18" s="72">
        <f t="shared" si="4"/>
        <v>49</v>
      </c>
      <c r="L18" s="72">
        <f t="shared" si="4"/>
        <v>0</v>
      </c>
      <c r="M18" s="72">
        <f t="shared" si="4"/>
        <v>196</v>
      </c>
      <c r="N18" s="72">
        <f t="shared" si="4"/>
        <v>3381</v>
      </c>
      <c r="O18" s="72">
        <f t="shared" si="4"/>
        <v>1323</v>
      </c>
      <c r="P18" s="72">
        <f t="shared" si="4"/>
        <v>0</v>
      </c>
      <c r="Q18" s="72">
        <f t="shared" si="0"/>
        <v>4704</v>
      </c>
      <c r="R18" s="72">
        <f>Q18*1000</f>
        <v>4704000</v>
      </c>
    </row>
    <row r="19" spans="1:18">
      <c r="A19" s="64" t="s">
        <v>157</v>
      </c>
      <c r="B19" s="88">
        <v>400</v>
      </c>
      <c r="C19" s="88"/>
      <c r="D19" s="88">
        <v>500</v>
      </c>
      <c r="E19" s="88">
        <v>1559.4999849796295</v>
      </c>
      <c r="F19" s="88">
        <v>670</v>
      </c>
      <c r="G19" s="43" t="s">
        <v>151</v>
      </c>
      <c r="H19" s="65">
        <v>0</v>
      </c>
      <c r="I19" s="65">
        <v>0</v>
      </c>
      <c r="J19" s="65">
        <v>0</v>
      </c>
      <c r="K19" s="65">
        <v>0</v>
      </c>
      <c r="L19" s="65">
        <v>0</v>
      </c>
      <c r="M19" s="65">
        <v>0</v>
      </c>
      <c r="N19" s="65">
        <f>J19*$P$2/1000</f>
        <v>0</v>
      </c>
      <c r="O19" s="65">
        <f>K19*$Q$2/1000</f>
        <v>0</v>
      </c>
      <c r="P19" s="65">
        <f>L19*$P$2/1000</f>
        <v>0</v>
      </c>
      <c r="Q19" s="65">
        <f t="shared" si="0"/>
        <v>0</v>
      </c>
      <c r="R19" s="81">
        <f>M21</f>
        <v>96</v>
      </c>
    </row>
    <row r="20" spans="1:18">
      <c r="A20" s="67">
        <v>80</v>
      </c>
      <c r="B20" s="89"/>
      <c r="C20" s="89"/>
      <c r="D20" s="89"/>
      <c r="E20" s="89"/>
      <c r="F20" s="89"/>
      <c r="G20" s="68" t="s">
        <v>152</v>
      </c>
      <c r="H20" s="69">
        <v>100</v>
      </c>
      <c r="I20" s="69">
        <v>670</v>
      </c>
      <c r="J20" s="69">
        <v>72</v>
      </c>
      <c r="K20" s="69">
        <v>24</v>
      </c>
      <c r="L20" s="69"/>
      <c r="M20" s="69">
        <v>96</v>
      </c>
      <c r="N20" s="69">
        <f>J20*$P$3/1000</f>
        <v>1656</v>
      </c>
      <c r="O20" s="69">
        <f>K20*$Q$3/1000</f>
        <v>648</v>
      </c>
      <c r="P20" s="69">
        <f>L20*$P$3/1000</f>
        <v>0</v>
      </c>
      <c r="Q20" s="69">
        <f t="shared" si="0"/>
        <v>2304</v>
      </c>
      <c r="R20" s="70"/>
    </row>
    <row r="21" spans="1:18">
      <c r="A21" s="71"/>
      <c r="B21" s="90"/>
      <c r="C21" s="90"/>
      <c r="D21" s="90"/>
      <c r="E21" s="90"/>
      <c r="F21" s="90"/>
      <c r="G21" s="49" t="s">
        <v>153</v>
      </c>
      <c r="H21" s="72">
        <f t="shared" ref="H21:P21" si="5">SUM(H19:H20)</f>
        <v>100</v>
      </c>
      <c r="I21" s="72">
        <f t="shared" si="5"/>
        <v>670</v>
      </c>
      <c r="J21" s="72">
        <f t="shared" si="5"/>
        <v>72</v>
      </c>
      <c r="K21" s="72">
        <f t="shared" si="5"/>
        <v>24</v>
      </c>
      <c r="L21" s="72">
        <f t="shared" si="5"/>
        <v>0</v>
      </c>
      <c r="M21" s="72">
        <f t="shared" si="5"/>
        <v>96</v>
      </c>
      <c r="N21" s="72">
        <f t="shared" si="5"/>
        <v>1656</v>
      </c>
      <c r="O21" s="72">
        <f t="shared" si="5"/>
        <v>648</v>
      </c>
      <c r="P21" s="72">
        <f t="shared" si="5"/>
        <v>0</v>
      </c>
      <c r="Q21" s="72">
        <f t="shared" si="0"/>
        <v>2304</v>
      </c>
      <c r="R21" s="72">
        <f>Q21*1000</f>
        <v>2304000</v>
      </c>
    </row>
    <row r="22" spans="1:18">
      <c r="A22" s="64" t="s">
        <v>157</v>
      </c>
      <c r="B22" s="88">
        <v>350</v>
      </c>
      <c r="C22" s="88"/>
      <c r="D22" s="88">
        <v>375</v>
      </c>
      <c r="E22" s="88">
        <v>1544.0000295639038</v>
      </c>
      <c r="F22" s="88">
        <v>380</v>
      </c>
      <c r="G22" s="43" t="s">
        <v>151</v>
      </c>
      <c r="H22" s="65">
        <v>45</v>
      </c>
      <c r="I22" s="65">
        <v>171</v>
      </c>
      <c r="J22" s="65">
        <v>8</v>
      </c>
      <c r="K22" s="65">
        <v>4</v>
      </c>
      <c r="L22" s="65">
        <v>1</v>
      </c>
      <c r="M22" s="65">
        <v>13</v>
      </c>
      <c r="N22" s="65">
        <f>J22*$P$2/1000</f>
        <v>176</v>
      </c>
      <c r="O22" s="65">
        <f>K22*$Q$2/1000</f>
        <v>100</v>
      </c>
      <c r="P22" s="65">
        <f>L22*$P$2/1000</f>
        <v>22</v>
      </c>
      <c r="Q22" s="65">
        <f t="shared" si="0"/>
        <v>298</v>
      </c>
      <c r="R22" s="81">
        <f>M24</f>
        <v>49</v>
      </c>
    </row>
    <row r="23" spans="1:18">
      <c r="A23" s="67">
        <v>160</v>
      </c>
      <c r="B23" s="89"/>
      <c r="C23" s="89"/>
      <c r="D23" s="89"/>
      <c r="E23" s="89"/>
      <c r="F23" s="89"/>
      <c r="G23" s="68" t="s">
        <v>152</v>
      </c>
      <c r="H23" s="69">
        <v>55</v>
      </c>
      <c r="I23" s="69">
        <v>209</v>
      </c>
      <c r="J23" s="69">
        <v>27</v>
      </c>
      <c r="K23" s="69">
        <v>9</v>
      </c>
      <c r="L23" s="69"/>
      <c r="M23" s="69">
        <v>36</v>
      </c>
      <c r="N23" s="69">
        <f>J23*$P$3/1000</f>
        <v>621</v>
      </c>
      <c r="O23" s="69">
        <f>K23*$Q$3/1000</f>
        <v>243</v>
      </c>
      <c r="P23" s="69">
        <f>L23*$P$3/1000</f>
        <v>0</v>
      </c>
      <c r="Q23" s="69">
        <f t="shared" si="0"/>
        <v>864</v>
      </c>
      <c r="R23" s="70"/>
    </row>
    <row r="24" spans="1:18">
      <c r="A24" s="71"/>
      <c r="B24" s="90"/>
      <c r="C24" s="90"/>
      <c r="D24" s="90"/>
      <c r="E24" s="90"/>
      <c r="F24" s="90"/>
      <c r="G24" s="49" t="s">
        <v>153</v>
      </c>
      <c r="H24" s="72">
        <f t="shared" ref="H24:P24" si="6">SUM(H22:H23)</f>
        <v>100</v>
      </c>
      <c r="I24" s="72">
        <f t="shared" si="6"/>
        <v>380</v>
      </c>
      <c r="J24" s="72">
        <f t="shared" si="6"/>
        <v>35</v>
      </c>
      <c r="K24" s="72">
        <f t="shared" si="6"/>
        <v>13</v>
      </c>
      <c r="L24" s="72">
        <f t="shared" si="6"/>
        <v>1</v>
      </c>
      <c r="M24" s="72">
        <f t="shared" si="6"/>
        <v>49</v>
      </c>
      <c r="N24" s="72">
        <f t="shared" si="6"/>
        <v>797</v>
      </c>
      <c r="O24" s="72">
        <f t="shared" si="6"/>
        <v>343</v>
      </c>
      <c r="P24" s="72">
        <f t="shared" si="6"/>
        <v>22</v>
      </c>
      <c r="Q24" s="72">
        <f t="shared" si="0"/>
        <v>1162</v>
      </c>
      <c r="R24" s="72">
        <f>Q24*1000</f>
        <v>1162000</v>
      </c>
    </row>
    <row r="25" spans="1:18">
      <c r="A25" s="64" t="s">
        <v>158</v>
      </c>
      <c r="B25" s="88">
        <v>360</v>
      </c>
      <c r="C25" s="88"/>
      <c r="D25" s="88">
        <v>585</v>
      </c>
      <c r="E25" s="88">
        <v>1149.5000112056732</v>
      </c>
      <c r="F25" s="88">
        <v>721</v>
      </c>
      <c r="G25" s="43" t="s">
        <v>151</v>
      </c>
      <c r="H25" s="65">
        <v>30</v>
      </c>
      <c r="I25" s="65">
        <v>216.3</v>
      </c>
      <c r="J25" s="65">
        <v>6</v>
      </c>
      <c r="K25" s="65">
        <v>3</v>
      </c>
      <c r="L25" s="65">
        <v>1</v>
      </c>
      <c r="M25" s="65">
        <v>10</v>
      </c>
      <c r="N25" s="65">
        <f>J25*$P$2/1000</f>
        <v>132</v>
      </c>
      <c r="O25" s="65">
        <f>K25*$Q$2/1000</f>
        <v>75</v>
      </c>
      <c r="P25" s="65">
        <f>L25*$P$2/1000</f>
        <v>22</v>
      </c>
      <c r="Q25" s="65">
        <f t="shared" si="0"/>
        <v>229</v>
      </c>
      <c r="R25" s="81">
        <f>M27</f>
        <v>70</v>
      </c>
    </row>
    <row r="26" spans="1:18">
      <c r="A26" s="67" t="s">
        <v>159</v>
      </c>
      <c r="B26" s="89"/>
      <c r="C26" s="89"/>
      <c r="D26" s="89"/>
      <c r="E26" s="89"/>
      <c r="F26" s="89"/>
      <c r="G26" s="68" t="s">
        <v>152</v>
      </c>
      <c r="H26" s="69">
        <v>70</v>
      </c>
      <c r="I26" s="69">
        <v>504.7</v>
      </c>
      <c r="J26" s="69">
        <v>45</v>
      </c>
      <c r="K26" s="69">
        <v>15</v>
      </c>
      <c r="L26" s="69"/>
      <c r="M26" s="69">
        <v>60</v>
      </c>
      <c r="N26" s="69">
        <f>J26*$P$3/1000</f>
        <v>1035</v>
      </c>
      <c r="O26" s="69">
        <f>K26*$Q$3/1000</f>
        <v>405</v>
      </c>
      <c r="P26" s="69">
        <f>L26*$P$3/1000</f>
        <v>0</v>
      </c>
      <c r="Q26" s="69">
        <f t="shared" si="0"/>
        <v>1440</v>
      </c>
      <c r="R26" s="70"/>
    </row>
    <row r="27" spans="1:18">
      <c r="A27" s="71"/>
      <c r="B27" s="90"/>
      <c r="C27" s="90"/>
      <c r="D27" s="90"/>
      <c r="E27" s="90"/>
      <c r="F27" s="90"/>
      <c r="G27" s="49" t="s">
        <v>153</v>
      </c>
      <c r="H27" s="72">
        <f t="shared" ref="H27:P27" si="7">SUM(H25:H26)</f>
        <v>100</v>
      </c>
      <c r="I27" s="72">
        <f t="shared" si="7"/>
        <v>721</v>
      </c>
      <c r="J27" s="72">
        <f t="shared" si="7"/>
        <v>51</v>
      </c>
      <c r="K27" s="72">
        <f t="shared" si="7"/>
        <v>18</v>
      </c>
      <c r="L27" s="72">
        <f t="shared" si="7"/>
        <v>1</v>
      </c>
      <c r="M27" s="72">
        <f t="shared" si="7"/>
        <v>70</v>
      </c>
      <c r="N27" s="72">
        <f t="shared" si="7"/>
        <v>1167</v>
      </c>
      <c r="O27" s="72">
        <f t="shared" si="7"/>
        <v>480</v>
      </c>
      <c r="P27" s="72">
        <f t="shared" si="7"/>
        <v>22</v>
      </c>
      <c r="Q27" s="72">
        <f t="shared" si="0"/>
        <v>1669</v>
      </c>
      <c r="R27" s="72">
        <f>Q27*1000</f>
        <v>1669000</v>
      </c>
    </row>
    <row r="28" spans="1:18">
      <c r="A28" s="64" t="s">
        <v>160</v>
      </c>
      <c r="B28" s="88">
        <v>555</v>
      </c>
      <c r="C28" s="88"/>
      <c r="D28" s="88">
        <v>2405</v>
      </c>
      <c r="E28" s="88">
        <v>8459.600043296814</v>
      </c>
      <c r="F28" s="88">
        <v>2635</v>
      </c>
      <c r="G28" s="43" t="s">
        <v>151</v>
      </c>
      <c r="H28" s="65">
        <v>55</v>
      </c>
      <c r="I28" s="65">
        <v>1449.25</v>
      </c>
      <c r="J28" s="65">
        <v>46</v>
      </c>
      <c r="K28" s="65">
        <v>23</v>
      </c>
      <c r="L28" s="65">
        <v>7</v>
      </c>
      <c r="M28" s="65">
        <v>76</v>
      </c>
      <c r="N28" s="65">
        <f>J28*$P$2/1000</f>
        <v>1012</v>
      </c>
      <c r="O28" s="65">
        <f>K28*$Q$2/1000</f>
        <v>575</v>
      </c>
      <c r="P28" s="65">
        <f>L28*$P$2/1000</f>
        <v>154</v>
      </c>
      <c r="Q28" s="65">
        <f t="shared" si="0"/>
        <v>1741</v>
      </c>
      <c r="R28" s="81">
        <f>M30</f>
        <v>224</v>
      </c>
    </row>
    <row r="29" spans="1:18">
      <c r="A29" s="67" t="s">
        <v>156</v>
      </c>
      <c r="B29" s="89"/>
      <c r="C29" s="89"/>
      <c r="D29" s="89"/>
      <c r="E29" s="89"/>
      <c r="F29" s="89"/>
      <c r="G29" s="68" t="s">
        <v>152</v>
      </c>
      <c r="H29" s="69">
        <v>45</v>
      </c>
      <c r="I29" s="69">
        <v>1185.75</v>
      </c>
      <c r="J29" s="69">
        <v>111</v>
      </c>
      <c r="K29" s="69">
        <v>37</v>
      </c>
      <c r="L29" s="69"/>
      <c r="M29" s="69">
        <v>148</v>
      </c>
      <c r="N29" s="69">
        <f>J29*$P$3/1000</f>
        <v>2553</v>
      </c>
      <c r="O29" s="69">
        <f>K29*$Q$3/1000</f>
        <v>999</v>
      </c>
      <c r="P29" s="69">
        <f>L29*$P$3/1000</f>
        <v>0</v>
      </c>
      <c r="Q29" s="69">
        <f t="shared" si="0"/>
        <v>3552</v>
      </c>
      <c r="R29" s="70"/>
    </row>
    <row r="30" spans="1:18">
      <c r="A30" s="71"/>
      <c r="B30" s="90"/>
      <c r="C30" s="90"/>
      <c r="D30" s="90"/>
      <c r="E30" s="90"/>
      <c r="F30" s="90"/>
      <c r="G30" s="49" t="s">
        <v>153</v>
      </c>
      <c r="H30" s="72">
        <f t="shared" ref="H30:P30" si="8">SUM(H28:H29)</f>
        <v>100</v>
      </c>
      <c r="I30" s="72">
        <f t="shared" si="8"/>
        <v>2635</v>
      </c>
      <c r="J30" s="72">
        <f t="shared" si="8"/>
        <v>157</v>
      </c>
      <c r="K30" s="72">
        <f t="shared" si="8"/>
        <v>60</v>
      </c>
      <c r="L30" s="72">
        <f t="shared" si="8"/>
        <v>7</v>
      </c>
      <c r="M30" s="72">
        <f t="shared" si="8"/>
        <v>224</v>
      </c>
      <c r="N30" s="72">
        <f t="shared" si="8"/>
        <v>3565</v>
      </c>
      <c r="O30" s="72">
        <f t="shared" si="8"/>
        <v>1574</v>
      </c>
      <c r="P30" s="72">
        <f t="shared" si="8"/>
        <v>154</v>
      </c>
      <c r="Q30" s="72">
        <f t="shared" si="0"/>
        <v>5293</v>
      </c>
      <c r="R30" s="72">
        <f>Q30*1000</f>
        <v>5293000</v>
      </c>
    </row>
    <row r="31" spans="1:18">
      <c r="A31" s="64" t="s">
        <v>161</v>
      </c>
      <c r="B31" s="88">
        <v>790</v>
      </c>
      <c r="C31" s="88"/>
      <c r="D31" s="88">
        <v>1890</v>
      </c>
      <c r="E31" s="88">
        <v>3950.4500514268875</v>
      </c>
      <c r="F31" s="88">
        <v>914</v>
      </c>
      <c r="G31" s="43" t="s">
        <v>151</v>
      </c>
      <c r="H31" s="65">
        <v>35</v>
      </c>
      <c r="I31" s="65">
        <v>319.89999999999998</v>
      </c>
      <c r="J31" s="65">
        <v>10</v>
      </c>
      <c r="K31" s="65">
        <v>5</v>
      </c>
      <c r="L31" s="65">
        <v>1</v>
      </c>
      <c r="M31" s="65">
        <v>16</v>
      </c>
      <c r="N31" s="65">
        <f>J31*$P$2/1000</f>
        <v>220</v>
      </c>
      <c r="O31" s="65">
        <f>K31*$Q$2/1000</f>
        <v>125</v>
      </c>
      <c r="P31" s="65">
        <f>L31*$P$2/1000</f>
        <v>22</v>
      </c>
      <c r="Q31" s="65">
        <f t="shared" si="0"/>
        <v>367</v>
      </c>
      <c r="R31" s="81">
        <f>M33</f>
        <v>96</v>
      </c>
    </row>
    <row r="32" spans="1:18">
      <c r="A32" s="67" t="s">
        <v>159</v>
      </c>
      <c r="B32" s="89"/>
      <c r="C32" s="89"/>
      <c r="D32" s="89"/>
      <c r="E32" s="89"/>
      <c r="F32" s="89"/>
      <c r="G32" s="68" t="s">
        <v>152</v>
      </c>
      <c r="H32" s="69">
        <v>65</v>
      </c>
      <c r="I32" s="69">
        <v>594.1</v>
      </c>
      <c r="J32" s="69">
        <v>60</v>
      </c>
      <c r="K32" s="69">
        <v>20</v>
      </c>
      <c r="L32" s="69"/>
      <c r="M32" s="69">
        <v>80</v>
      </c>
      <c r="N32" s="69">
        <f>J32*$P$3/1000</f>
        <v>1380</v>
      </c>
      <c r="O32" s="69">
        <f>K32*$Q$3/1000</f>
        <v>540</v>
      </c>
      <c r="P32" s="69">
        <f>L32*$P$3/1000</f>
        <v>0</v>
      </c>
      <c r="Q32" s="69">
        <f t="shared" si="0"/>
        <v>1920</v>
      </c>
      <c r="R32" s="70"/>
    </row>
    <row r="33" spans="1:18">
      <c r="A33" s="71"/>
      <c r="B33" s="90"/>
      <c r="C33" s="90"/>
      <c r="D33" s="90"/>
      <c r="E33" s="90"/>
      <c r="F33" s="90"/>
      <c r="G33" s="49" t="s">
        <v>153</v>
      </c>
      <c r="H33" s="72">
        <f t="shared" ref="H33:P33" si="9">SUM(H31:H32)</f>
        <v>100</v>
      </c>
      <c r="I33" s="72">
        <f t="shared" si="9"/>
        <v>914</v>
      </c>
      <c r="J33" s="72">
        <f t="shared" si="9"/>
        <v>70</v>
      </c>
      <c r="K33" s="72">
        <f t="shared" si="9"/>
        <v>25</v>
      </c>
      <c r="L33" s="72">
        <f t="shared" si="9"/>
        <v>1</v>
      </c>
      <c r="M33" s="72">
        <f t="shared" si="9"/>
        <v>96</v>
      </c>
      <c r="N33" s="72">
        <f t="shared" si="9"/>
        <v>1600</v>
      </c>
      <c r="O33" s="72">
        <f t="shared" si="9"/>
        <v>665</v>
      </c>
      <c r="P33" s="72">
        <f t="shared" si="9"/>
        <v>22</v>
      </c>
      <c r="Q33" s="72">
        <f t="shared" si="0"/>
        <v>2287</v>
      </c>
      <c r="R33" s="72">
        <f>Q33*1000</f>
        <v>2287000</v>
      </c>
    </row>
    <row r="34" spans="1:18">
      <c r="A34" s="64" t="s">
        <v>162</v>
      </c>
      <c r="B34" s="88">
        <v>350</v>
      </c>
      <c r="C34" s="88"/>
      <c r="D34" s="88">
        <v>505</v>
      </c>
      <c r="E34" s="88">
        <v>1731.3999783992767</v>
      </c>
      <c r="F34" s="88">
        <v>649</v>
      </c>
      <c r="G34" s="43" t="s">
        <v>151</v>
      </c>
      <c r="H34" s="65">
        <v>45</v>
      </c>
      <c r="I34" s="65">
        <v>292.05</v>
      </c>
      <c r="J34" s="65">
        <v>12</v>
      </c>
      <c r="K34" s="65">
        <v>6</v>
      </c>
      <c r="L34" s="65">
        <v>1</v>
      </c>
      <c r="M34" s="65">
        <v>19</v>
      </c>
      <c r="N34" s="65">
        <f>J34*$P$2/1000</f>
        <v>264</v>
      </c>
      <c r="O34" s="65">
        <f>K34*$Q$2/1000</f>
        <v>150</v>
      </c>
      <c r="P34" s="65">
        <f>L34*$P$2/1000</f>
        <v>22</v>
      </c>
      <c r="Q34" s="65">
        <f t="shared" si="0"/>
        <v>436</v>
      </c>
      <c r="R34" s="81">
        <f>M36</f>
        <v>79</v>
      </c>
    </row>
    <row r="35" spans="1:18">
      <c r="A35" s="67">
        <v>80</v>
      </c>
      <c r="B35" s="89"/>
      <c r="C35" s="89"/>
      <c r="D35" s="89"/>
      <c r="E35" s="89"/>
      <c r="F35" s="89"/>
      <c r="G35" s="68" t="s">
        <v>152</v>
      </c>
      <c r="H35" s="69">
        <v>55</v>
      </c>
      <c r="I35" s="69">
        <v>356.95</v>
      </c>
      <c r="J35" s="69">
        <v>45</v>
      </c>
      <c r="K35" s="69">
        <v>15</v>
      </c>
      <c r="L35" s="69"/>
      <c r="M35" s="69">
        <v>60</v>
      </c>
      <c r="N35" s="69">
        <f>J35*$P$3/1000</f>
        <v>1035</v>
      </c>
      <c r="O35" s="69">
        <f>K35*$Q$3/1000</f>
        <v>405</v>
      </c>
      <c r="P35" s="69">
        <f>L35*$P$3/1000</f>
        <v>0</v>
      </c>
      <c r="Q35" s="69">
        <f t="shared" si="0"/>
        <v>1440</v>
      </c>
      <c r="R35" s="70"/>
    </row>
    <row r="36" spans="1:18">
      <c r="A36" s="71"/>
      <c r="B36" s="90"/>
      <c r="C36" s="90"/>
      <c r="D36" s="90"/>
      <c r="E36" s="90"/>
      <c r="F36" s="90"/>
      <c r="G36" s="49" t="s">
        <v>153</v>
      </c>
      <c r="H36" s="72">
        <f t="shared" ref="H36:P36" si="10">SUM(H34:H35)</f>
        <v>100</v>
      </c>
      <c r="I36" s="72">
        <f t="shared" si="10"/>
        <v>649</v>
      </c>
      <c r="J36" s="72">
        <f t="shared" si="10"/>
        <v>57</v>
      </c>
      <c r="K36" s="72">
        <f t="shared" si="10"/>
        <v>21</v>
      </c>
      <c r="L36" s="72">
        <f t="shared" si="10"/>
        <v>1</v>
      </c>
      <c r="M36" s="72">
        <f t="shared" si="10"/>
        <v>79</v>
      </c>
      <c r="N36" s="72">
        <f t="shared" si="10"/>
        <v>1299</v>
      </c>
      <c r="O36" s="72">
        <f t="shared" si="10"/>
        <v>555</v>
      </c>
      <c r="P36" s="72">
        <f t="shared" si="10"/>
        <v>22</v>
      </c>
      <c r="Q36" s="72">
        <f t="shared" si="0"/>
        <v>1876</v>
      </c>
      <c r="R36" s="72">
        <f>Q36*1000</f>
        <v>1876000</v>
      </c>
    </row>
    <row r="37" spans="1:18">
      <c r="A37" s="64" t="s">
        <v>163</v>
      </c>
      <c r="B37" s="88">
        <v>360</v>
      </c>
      <c r="C37" s="88"/>
      <c r="D37" s="88">
        <v>435</v>
      </c>
      <c r="E37" s="88">
        <v>1821.8999671936035</v>
      </c>
      <c r="F37" s="88">
        <v>558</v>
      </c>
      <c r="G37" s="43" t="s">
        <v>151</v>
      </c>
      <c r="H37" s="65">
        <v>55</v>
      </c>
      <c r="I37" s="65">
        <v>306.89999999999998</v>
      </c>
      <c r="J37" s="65">
        <v>18</v>
      </c>
      <c r="K37" s="65">
        <v>9</v>
      </c>
      <c r="L37" s="65">
        <v>2</v>
      </c>
      <c r="M37" s="65">
        <v>29</v>
      </c>
      <c r="N37" s="65">
        <f>J37*$P$2/1000</f>
        <v>396</v>
      </c>
      <c r="O37" s="65">
        <f>K37*$Q$2/1000</f>
        <v>225</v>
      </c>
      <c r="P37" s="65">
        <f>L37*$P$2/1000</f>
        <v>44</v>
      </c>
      <c r="Q37" s="65">
        <f t="shared" si="0"/>
        <v>665</v>
      </c>
      <c r="R37" s="81">
        <f>M39</f>
        <v>81</v>
      </c>
    </row>
    <row r="38" spans="1:18">
      <c r="A38" s="67">
        <v>160</v>
      </c>
      <c r="B38" s="89"/>
      <c r="C38" s="89"/>
      <c r="D38" s="89"/>
      <c r="E38" s="89"/>
      <c r="F38" s="89"/>
      <c r="G38" s="68" t="s">
        <v>152</v>
      </c>
      <c r="H38" s="69">
        <v>45</v>
      </c>
      <c r="I38" s="69">
        <v>251.1</v>
      </c>
      <c r="J38" s="69">
        <v>39</v>
      </c>
      <c r="K38" s="69">
        <v>13</v>
      </c>
      <c r="L38" s="69"/>
      <c r="M38" s="69">
        <v>52</v>
      </c>
      <c r="N38" s="69">
        <f>J38*$P$3/1000</f>
        <v>897</v>
      </c>
      <c r="O38" s="69">
        <f>K38*$Q$3/1000</f>
        <v>351</v>
      </c>
      <c r="P38" s="69">
        <f>L38*$P$3/1000</f>
        <v>0</v>
      </c>
      <c r="Q38" s="69">
        <f t="shared" si="0"/>
        <v>1248</v>
      </c>
      <c r="R38" s="70"/>
    </row>
    <row r="39" spans="1:18">
      <c r="A39" s="71"/>
      <c r="B39" s="90"/>
      <c r="C39" s="90"/>
      <c r="D39" s="90"/>
      <c r="E39" s="90"/>
      <c r="F39" s="90"/>
      <c r="G39" s="49" t="s">
        <v>153</v>
      </c>
      <c r="H39" s="72">
        <f t="shared" ref="H39:P39" si="11">SUM(H37:H38)</f>
        <v>100</v>
      </c>
      <c r="I39" s="72">
        <f t="shared" si="11"/>
        <v>558</v>
      </c>
      <c r="J39" s="72">
        <f t="shared" si="11"/>
        <v>57</v>
      </c>
      <c r="K39" s="72">
        <f t="shared" si="11"/>
        <v>22</v>
      </c>
      <c r="L39" s="72">
        <f t="shared" si="11"/>
        <v>2</v>
      </c>
      <c r="M39" s="72">
        <f t="shared" si="11"/>
        <v>81</v>
      </c>
      <c r="N39" s="72">
        <f t="shared" si="11"/>
        <v>1293</v>
      </c>
      <c r="O39" s="72">
        <f t="shared" si="11"/>
        <v>576</v>
      </c>
      <c r="P39" s="72">
        <f t="shared" si="11"/>
        <v>44</v>
      </c>
      <c r="Q39" s="72">
        <f t="shared" si="0"/>
        <v>1913</v>
      </c>
      <c r="R39" s="72">
        <f>Q39*1000</f>
        <v>1913000</v>
      </c>
    </row>
    <row r="40" spans="1:18">
      <c r="A40" s="64" t="s">
        <v>164</v>
      </c>
      <c r="B40" s="88">
        <v>450</v>
      </c>
      <c r="C40" s="88"/>
      <c r="D40" s="88">
        <v>1500</v>
      </c>
      <c r="E40" s="88">
        <v>5949.4999170303345</v>
      </c>
      <c r="F40" s="88">
        <v>1824</v>
      </c>
      <c r="G40" s="43" t="s">
        <v>151</v>
      </c>
      <c r="H40" s="65">
        <v>45</v>
      </c>
      <c r="I40" s="65">
        <v>820.8</v>
      </c>
      <c r="J40" s="65">
        <v>32</v>
      </c>
      <c r="K40" s="65">
        <v>16</v>
      </c>
      <c r="L40" s="65">
        <v>4</v>
      </c>
      <c r="M40" s="65">
        <v>52</v>
      </c>
      <c r="N40" s="65">
        <f>J40*$P$2/1000</f>
        <v>704</v>
      </c>
      <c r="O40" s="65">
        <f>K40*$Q$2/1000</f>
        <v>400</v>
      </c>
      <c r="P40" s="65">
        <f>L40*$P$2/1000</f>
        <v>88</v>
      </c>
      <c r="Q40" s="65">
        <f t="shared" si="0"/>
        <v>1192</v>
      </c>
      <c r="R40" s="81">
        <f>M42</f>
        <v>200</v>
      </c>
    </row>
    <row r="41" spans="1:18">
      <c r="A41" s="67">
        <v>40</v>
      </c>
      <c r="B41" s="89"/>
      <c r="C41" s="89"/>
      <c r="D41" s="89"/>
      <c r="E41" s="89"/>
      <c r="F41" s="89"/>
      <c r="G41" s="68" t="s">
        <v>152</v>
      </c>
      <c r="H41" s="69">
        <v>55</v>
      </c>
      <c r="I41" s="69">
        <v>1003.2</v>
      </c>
      <c r="J41" s="69">
        <v>111</v>
      </c>
      <c r="K41" s="69">
        <v>37</v>
      </c>
      <c r="L41" s="69"/>
      <c r="M41" s="69">
        <v>148</v>
      </c>
      <c r="N41" s="69">
        <f>J41*$P$3/1000</f>
        <v>2553</v>
      </c>
      <c r="O41" s="69">
        <f>K41*$Q$3/1000</f>
        <v>999</v>
      </c>
      <c r="P41" s="69">
        <f>L41*$P$3/1000</f>
        <v>0</v>
      </c>
      <c r="Q41" s="69">
        <f t="shared" si="0"/>
        <v>3552</v>
      </c>
      <c r="R41" s="70"/>
    </row>
    <row r="42" spans="1:18">
      <c r="A42" s="71"/>
      <c r="B42" s="90"/>
      <c r="C42" s="90"/>
      <c r="D42" s="90"/>
      <c r="E42" s="90"/>
      <c r="F42" s="90"/>
      <c r="G42" s="49" t="s">
        <v>153</v>
      </c>
      <c r="H42" s="72">
        <f t="shared" ref="H42:P42" si="12">SUM(H40:H41)</f>
        <v>100</v>
      </c>
      <c r="I42" s="72">
        <f t="shared" si="12"/>
        <v>1824</v>
      </c>
      <c r="J42" s="72">
        <f t="shared" si="12"/>
        <v>143</v>
      </c>
      <c r="K42" s="72">
        <f t="shared" si="12"/>
        <v>53</v>
      </c>
      <c r="L42" s="72">
        <f t="shared" si="12"/>
        <v>4</v>
      </c>
      <c r="M42" s="72">
        <f t="shared" si="12"/>
        <v>200</v>
      </c>
      <c r="N42" s="72">
        <f t="shared" si="12"/>
        <v>3257</v>
      </c>
      <c r="O42" s="72">
        <f t="shared" si="12"/>
        <v>1399</v>
      </c>
      <c r="P42" s="72">
        <f t="shared" si="12"/>
        <v>88</v>
      </c>
      <c r="Q42" s="72">
        <f t="shared" si="0"/>
        <v>4744</v>
      </c>
      <c r="R42" s="72">
        <f>Q42*1000</f>
        <v>4744000</v>
      </c>
    </row>
    <row r="43" spans="1:18">
      <c r="A43" s="64" t="s">
        <v>165</v>
      </c>
      <c r="B43" s="88">
        <v>300</v>
      </c>
      <c r="C43" s="88"/>
      <c r="D43" s="88">
        <v>375</v>
      </c>
      <c r="E43" s="88">
        <v>1201.5000104904175</v>
      </c>
      <c r="F43" s="88">
        <v>442</v>
      </c>
      <c r="G43" s="43" t="s">
        <v>151</v>
      </c>
      <c r="H43" s="65">
        <v>0</v>
      </c>
      <c r="I43" s="65">
        <v>0</v>
      </c>
      <c r="J43" s="65">
        <v>0</v>
      </c>
      <c r="K43" s="65">
        <v>0</v>
      </c>
      <c r="L43" s="65">
        <v>0</v>
      </c>
      <c r="M43" s="65">
        <v>0</v>
      </c>
      <c r="N43" s="65">
        <f>J43*$P$2/1000</f>
        <v>0</v>
      </c>
      <c r="O43" s="65">
        <f>K43*$Q$2/1000</f>
        <v>0</v>
      </c>
      <c r="P43" s="65">
        <f>L43*$P$2/1000</f>
        <v>0</v>
      </c>
      <c r="Q43" s="65">
        <f t="shared" si="0"/>
        <v>0</v>
      </c>
      <c r="R43" s="81">
        <f>M45</f>
        <v>84</v>
      </c>
    </row>
    <row r="44" spans="1:18">
      <c r="A44" s="67">
        <v>80</v>
      </c>
      <c r="B44" s="89"/>
      <c r="C44" s="89"/>
      <c r="D44" s="89"/>
      <c r="E44" s="89"/>
      <c r="F44" s="89"/>
      <c r="G44" s="68" t="s">
        <v>152</v>
      </c>
      <c r="H44" s="69">
        <v>100</v>
      </c>
      <c r="I44" s="69">
        <v>442</v>
      </c>
      <c r="J44" s="69">
        <v>63</v>
      </c>
      <c r="K44" s="69">
        <v>21</v>
      </c>
      <c r="L44" s="69"/>
      <c r="M44" s="69">
        <v>84</v>
      </c>
      <c r="N44" s="69">
        <f>J44*$P$3/1000</f>
        <v>1449</v>
      </c>
      <c r="O44" s="69">
        <f>K44*$Q$3/1000</f>
        <v>567</v>
      </c>
      <c r="P44" s="69">
        <f>L44*$P$3/1000</f>
        <v>0</v>
      </c>
      <c r="Q44" s="69">
        <f t="shared" si="0"/>
        <v>2016</v>
      </c>
      <c r="R44" s="70"/>
    </row>
    <row r="45" spans="1:18">
      <c r="A45" s="71"/>
      <c r="B45" s="90"/>
      <c r="C45" s="90"/>
      <c r="D45" s="90"/>
      <c r="E45" s="90"/>
      <c r="F45" s="90"/>
      <c r="G45" s="49" t="s">
        <v>153</v>
      </c>
      <c r="H45" s="72">
        <f t="shared" ref="H45:P45" si="13">SUM(H43:H44)</f>
        <v>100</v>
      </c>
      <c r="I45" s="72">
        <f t="shared" si="13"/>
        <v>442</v>
      </c>
      <c r="J45" s="72">
        <f t="shared" si="13"/>
        <v>63</v>
      </c>
      <c r="K45" s="72">
        <f t="shared" si="13"/>
        <v>21</v>
      </c>
      <c r="L45" s="72">
        <f t="shared" si="13"/>
        <v>0</v>
      </c>
      <c r="M45" s="72">
        <f t="shared" si="13"/>
        <v>84</v>
      </c>
      <c r="N45" s="72">
        <f t="shared" si="13"/>
        <v>1449</v>
      </c>
      <c r="O45" s="72">
        <f t="shared" si="13"/>
        <v>567</v>
      </c>
      <c r="P45" s="72">
        <f t="shared" si="13"/>
        <v>0</v>
      </c>
      <c r="Q45" s="72">
        <f t="shared" si="0"/>
        <v>2016</v>
      </c>
      <c r="R45" s="72">
        <f>Q45*1000</f>
        <v>2016000</v>
      </c>
    </row>
    <row r="46" spans="1:18">
      <c r="A46" s="91" t="s">
        <v>166</v>
      </c>
      <c r="B46" s="94">
        <f>SUM(B7:B45)</f>
        <v>18804</v>
      </c>
      <c r="C46" s="94">
        <f>SUM(C7:C45)</f>
        <v>0</v>
      </c>
      <c r="D46" s="94">
        <f>SUM(D7:D45)</f>
        <v>85812.5</v>
      </c>
      <c r="E46" s="94">
        <f>SUM(E7:E45)</f>
        <v>409183.54290151596</v>
      </c>
      <c r="F46" s="94">
        <f>SUM(F7:F45)</f>
        <v>58129</v>
      </c>
      <c r="G46" s="73" t="s">
        <v>151</v>
      </c>
      <c r="H46" s="74"/>
      <c r="I46" s="74">
        <f t="shared" ref="I46:Q47" si="14">I7+I10+I13+I16+I19+I22+I25+I28+I31+I34+I37+I40+I43</f>
        <v>20679.899999999998</v>
      </c>
      <c r="J46" s="74">
        <f t="shared" si="14"/>
        <v>568</v>
      </c>
      <c r="K46" s="74">
        <f t="shared" si="14"/>
        <v>284</v>
      </c>
      <c r="L46" s="74">
        <f t="shared" si="14"/>
        <v>81</v>
      </c>
      <c r="M46" s="74">
        <f t="shared" si="14"/>
        <v>933</v>
      </c>
      <c r="N46" s="74">
        <f t="shared" si="14"/>
        <v>12496</v>
      </c>
      <c r="O46" s="74">
        <f t="shared" si="14"/>
        <v>7100</v>
      </c>
      <c r="P46" s="74">
        <f t="shared" si="14"/>
        <v>1782</v>
      </c>
      <c r="Q46" s="74">
        <f t="shared" si="14"/>
        <v>21378</v>
      </c>
      <c r="R46" s="85"/>
    </row>
    <row r="47" spans="1:18">
      <c r="A47" s="92"/>
      <c r="B47" s="95"/>
      <c r="C47" s="95"/>
      <c r="D47" s="95"/>
      <c r="E47" s="95"/>
      <c r="F47" s="95"/>
      <c r="G47" s="76" t="s">
        <v>152</v>
      </c>
      <c r="H47" s="77"/>
      <c r="I47" s="77">
        <f t="shared" si="14"/>
        <v>37449.099999999991</v>
      </c>
      <c r="J47" s="77">
        <f t="shared" si="14"/>
        <v>3075</v>
      </c>
      <c r="K47" s="77">
        <f t="shared" si="14"/>
        <v>1025</v>
      </c>
      <c r="L47" s="77">
        <f t="shared" si="14"/>
        <v>0</v>
      </c>
      <c r="M47" s="77">
        <f t="shared" si="14"/>
        <v>4100</v>
      </c>
      <c r="N47" s="77">
        <f t="shared" si="14"/>
        <v>70725</v>
      </c>
      <c r="O47" s="77">
        <f t="shared" si="14"/>
        <v>27675</v>
      </c>
      <c r="P47" s="77">
        <f t="shared" si="14"/>
        <v>0</v>
      </c>
      <c r="Q47" s="77">
        <f t="shared" si="14"/>
        <v>98400</v>
      </c>
      <c r="R47" s="78"/>
    </row>
    <row r="48" spans="1:18">
      <c r="A48" s="93"/>
      <c r="B48" s="96"/>
      <c r="C48" s="96"/>
      <c r="D48" s="96"/>
      <c r="E48" s="96"/>
      <c r="F48" s="96"/>
      <c r="G48" s="79" t="s">
        <v>153</v>
      </c>
      <c r="H48" s="80"/>
      <c r="I48" s="80">
        <f t="shared" ref="I48:Q48" si="15">SUM(I46:I47)</f>
        <v>58128.999999999985</v>
      </c>
      <c r="J48" s="80">
        <f t="shared" si="15"/>
        <v>3643</v>
      </c>
      <c r="K48" s="80">
        <f t="shared" si="15"/>
        <v>1309</v>
      </c>
      <c r="L48" s="80">
        <f t="shared" si="15"/>
        <v>81</v>
      </c>
      <c r="M48" s="80">
        <f t="shared" si="15"/>
        <v>5033</v>
      </c>
      <c r="N48" s="80">
        <f t="shared" si="15"/>
        <v>83221</v>
      </c>
      <c r="O48" s="80">
        <f t="shared" si="15"/>
        <v>34775</v>
      </c>
      <c r="P48" s="80">
        <f t="shared" si="15"/>
        <v>1782</v>
      </c>
      <c r="Q48" s="80">
        <f t="shared" si="15"/>
        <v>119778</v>
      </c>
      <c r="R48" s="80">
        <f>R9+R12+R15+R18+R24+R27+R30+R33+R36+R39+R42+R45</f>
        <v>117474000</v>
      </c>
    </row>
  </sheetData>
  <mergeCells count="71">
    <mergeCell ref="B10:B12"/>
    <mergeCell ref="C10:C12"/>
    <mergeCell ref="D10:D12"/>
    <mergeCell ref="E10:E12"/>
    <mergeCell ref="F10:F12"/>
    <mergeCell ref="B7:B9"/>
    <mergeCell ref="C7:C9"/>
    <mergeCell ref="D7:D9"/>
    <mergeCell ref="E7:E9"/>
    <mergeCell ref="F7:F9"/>
    <mergeCell ref="B16:B18"/>
    <mergeCell ref="C16:C18"/>
    <mergeCell ref="D16:D18"/>
    <mergeCell ref="E16:E18"/>
    <mergeCell ref="F16:F18"/>
    <mergeCell ref="B13:B15"/>
    <mergeCell ref="C13:C15"/>
    <mergeCell ref="D13:D15"/>
    <mergeCell ref="E13:E15"/>
    <mergeCell ref="F13:F15"/>
    <mergeCell ref="B22:B24"/>
    <mergeCell ref="C22:C24"/>
    <mergeCell ref="D22:D24"/>
    <mergeCell ref="E22:E24"/>
    <mergeCell ref="F22:F24"/>
    <mergeCell ref="B19:B21"/>
    <mergeCell ref="C19:C21"/>
    <mergeCell ref="D19:D21"/>
    <mergeCell ref="E19:E21"/>
    <mergeCell ref="F19:F21"/>
    <mergeCell ref="B28:B30"/>
    <mergeCell ref="C28:C30"/>
    <mergeCell ref="D28:D30"/>
    <mergeCell ref="E28:E30"/>
    <mergeCell ref="F28:F30"/>
    <mergeCell ref="B25:B27"/>
    <mergeCell ref="C25:C27"/>
    <mergeCell ref="D25:D27"/>
    <mergeCell ref="E25:E27"/>
    <mergeCell ref="F25:F27"/>
    <mergeCell ref="B34:B36"/>
    <mergeCell ref="C34:C36"/>
    <mergeCell ref="D34:D36"/>
    <mergeCell ref="E34:E36"/>
    <mergeCell ref="F34:F36"/>
    <mergeCell ref="B31:B33"/>
    <mergeCell ref="C31:C33"/>
    <mergeCell ref="D31:D33"/>
    <mergeCell ref="E31:E33"/>
    <mergeCell ref="F31:F33"/>
    <mergeCell ref="B40:B42"/>
    <mergeCell ref="C40:C42"/>
    <mergeCell ref="D40:D42"/>
    <mergeCell ref="E40:E42"/>
    <mergeCell ref="F40:F42"/>
    <mergeCell ref="B37:B39"/>
    <mergeCell ref="C37:C39"/>
    <mergeCell ref="D37:D39"/>
    <mergeCell ref="E37:E39"/>
    <mergeCell ref="F37:F39"/>
    <mergeCell ref="A46:A48"/>
    <mergeCell ref="B46:B48"/>
    <mergeCell ref="C46:C48"/>
    <mergeCell ref="D46:D48"/>
    <mergeCell ref="E46:E48"/>
    <mergeCell ref="F46:F48"/>
    <mergeCell ref="B43:B45"/>
    <mergeCell ref="C43:C45"/>
    <mergeCell ref="D43:D45"/>
    <mergeCell ref="E43:E45"/>
    <mergeCell ref="F43:F45"/>
  </mergeCells>
  <phoneticPr fontId="11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customUI/customUI.xml><?xml version="1.0" encoding="utf-8"?>
<customUI xmlns="http://schemas.microsoft.com/office/2006/01/customui" onLoad="ribbonLoaded">
  <ribbon startFromScratch="false">
    <tabs>
      <tab id="MyTab1" label="積算ソフト" insertBeforeQ="TabHome">
        <group id="MyGroup1" label="ヘルプ">
          <button id="MyHelpNormal" size="large" label="ヘルプ&#13;&#10;(通常)" imageMso="Help" onAction="MyHelpNormal_OnClick"/>
          <button id="MyHelpOnTop" size="large" label="ヘルプ&#13;&#10;(最前面)" imageMso="Help" onAction="MyHelpOnTop_OnClick"/>
          <separator id="MySep1.1"/>
          <button id="MyVersion" size="large" label="バー&#13;&#10;ジョン" imageMso="Info" onAction="MyVersion_OnClick"/>
        </group>
        <group id="MyGroup2" label="データベース">
          <button id="MyDatabase" size="large" label="データ&#13;&#10;ベース" imageMso="DatabaseAccessBackEnd" onAction="MyDatabase_OnClick"/>
        </group>
        <group id="MyGroup3" label="配管工事">
          <button id="MyCalc" size="large" label="計算&#13;&#10;" imageMso="CalculateNow" onAction="MyCalc_OnClick"/>
          <separator id="MySep3.1"/>
          <button id="MyCheck" size="large" label="チェック&#13;&#10;" imageMso="ErrorChecking" onAction="MyCheck_OnClick"/>
          <button id="MyCheckClear" size="large" label="チェック&#13;&#10;解除" imageMso="EraserMenu" onAction="MyCheckClear_OnClick"/>
        </group>
        <group id="MyGroup4" label="断熱工事">
          <button id="MyButton4.1" size="large" label="ダミー&#13;&#10;"/>
        </group>
        <group id="MyGroup5" label="足場工事">
          <button id="MyButton5.1" size="large" label="ダミー&#13;&#10;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Info</vt:lpstr>
      <vt:lpstr>Sys</vt:lpstr>
      <vt:lpstr>Common</vt:lpstr>
      <vt:lpstr>Pipe</vt:lpstr>
      <vt:lpstr>Scaffold</vt:lpstr>
      <vt:lpstr>Detail_Pipe</vt:lpstr>
      <vt:lpstr>Detail_Pipe (2)</vt:lpstr>
      <vt:lpstr>入力データ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Minoru Fukuda</dc:creator>
  <cp:lastModifiedBy>MCI</cp:lastModifiedBy>
  <dcterms:created xsi:type="dcterms:W3CDTF">2006-09-16T00:00:00Z</dcterms:created>
  <dcterms:modified xsi:type="dcterms:W3CDTF">2016-03-02T12:24:16Z</dcterms:modified>
</cp:coreProperties>
</file>